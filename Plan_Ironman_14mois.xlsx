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ue d'ensemble" sheetId="1" state="visible" r:id="rId3"/>
    <sheet name="Plan hebdo" sheetId="2" state="visible" r:id="rId4"/>
    <sheet name="Séances clés" sheetId="3" state="visible" r:id="rId5"/>
    <sheet name="Nutrition" sheetId="4" state="visible" r:id="rId6"/>
    <sheet name="Mode d'emplo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<sst xmlns="http://schemas.openxmlformats.org/spreadsheetml/2006/main" count="917" uniqueCount="454">
  <si>
    <t xml:space="preserve">PLAN LÉ-MAN / EVIAN — Full Distance (juil. 2026 → 12 sept. 2027)</t>
  </si>
  <si>
    <t xml:space="preserve">Objectif : Le-Man Full, Evian (3,8 km lac Léman · 180 km / 3900 m D+ · 42,2 km). Budget : 8-10 h/sem. Tai Chi 10 min/jour.</t>
  </si>
  <si>
    <t xml:space="preserve">LES 4 PRINCIPES NON-NÉGOCIABLES</t>
  </si>
  <si>
    <t xml:space="preserve">1. La natation est le projet.</t>
  </si>
  <si>
    <t xml:space="preserve">Technique avant volume. 2 séances/sem minimum, sans exception. C'est ta seule vraie inconnue — sécurise-la tôt.</t>
  </si>
  <si>
    <t xml:space="preserve">2. Protéger la course, pas la développer.</t>
  </si>
  <si>
    <t xml:space="preserve">Ton moteur CAP est déjà suffisant. On le maintient (3 séances max). La tentation de courir plus = ta 1re cause de blessure potentielle.</t>
  </si>
  <si>
    <t xml:space="preserve">3. Le vélo, c'est du dénivelé (Evian = 3900 D+).</t>
  </si>
  <si>
    <t xml:space="preserve">Cols + barrières horaires à tenir (Ramaz avant 7h45, Corbier avant 9h45). Volume Z2 + travail de bosses/cols. Bike fit dès les 1ers mois. Ton passé trail est un atout de grimpeur.</t>
  </si>
  <si>
    <t xml:space="preserve">4. La récupération est un entraînement.</t>
  </si>
  <si>
    <t xml:space="preserve">1 semaine sur 4 = allégée (~50 %). Jusqu'à la fin de l'hiver (sem. 32) : 2 jours OFF/sem (lundi + vendredi) pour préserver la fraîcheur mentale. Si tu rates une semaine, tu reprends à la semaine ratée, tu ne sautes jamais en avant.</t>
  </si>
  <si>
    <t xml:space="preserve">LES 4 PHASES</t>
  </si>
  <si>
    <t xml:space="preserve">Phase</t>
  </si>
  <si>
    <t xml:space="preserve">Période</t>
  </si>
  <si>
    <t xml:space="preserve">Sem.</t>
  </si>
  <si>
    <t xml:space="preserve">Volume</t>
  </si>
  <si>
    <t xml:space="preserve">Focus principal</t>
  </si>
  <si>
    <t xml:space="preserve">0 — Fondation</t>
  </si>
  <si>
    <t xml:space="preserve">Juil. → Oct. 2026</t>
  </si>
  <si>
    <t xml:space="preserve">1-16</t>
  </si>
  <si>
    <t xml:space="preserve">7-9 h</t>
  </si>
  <si>
    <t xml:space="preserve">Apprendre à nager en crawl (technique +++). Base aérobie vélo en extérieur. Course maîtrisée. Bike fit. Installer la routine 3 sports + Tai Chi.</t>
  </si>
  <si>
    <t xml:space="preserve">1 — Construction</t>
  </si>
  <si>
    <t xml:space="preserve">Nov. 2026 → Fév. 2027</t>
  </si>
  <si>
    <t xml:space="preserve">17-32</t>
  </si>
  <si>
    <t xml:space="preserve">HIVER — la phase mentale. Home trainer (sweet spot + force basse cadence), montée du vélo. 1res longueurs continues (→1500 m). Bricks. 2 jours OFF/sem (lun+ven). Priorité : CONSTANCE, ne pas craquer.</t>
  </si>
  <si>
    <t xml:space="preserve">2 — Spécifique</t>
  </si>
  <si>
    <t xml:space="preserve">Mars → Juil. 2027</t>
  </si>
  <si>
    <t xml:space="preserve">33-50</t>
  </si>
  <si>
    <t xml:space="preserve">9-12 h</t>
  </si>
  <si>
    <t xml:space="preserve">Volumes longs VALLONNÉS (chercher le D+ d'Evian), allure IM, cols, gros samedis vélo+course, eau libre en lac (été), natation 2000→3500 m. Course test half vers sem. 47.</t>
  </si>
  <si>
    <t xml:space="preserve">3 — Pic &amp; Affûtage</t>
  </si>
  <si>
    <t xml:space="preserve">Juil. → Sept. 2027</t>
  </si>
  <si>
    <t xml:space="preserve">51-62</t>
  </si>
  <si>
    <t xml:space="preserve">12 h → 5 h</t>
  </si>
  <si>
    <t xml:space="preserve">2-3 semaines de pic (sortie 5-6 h en montagne 2500-3000 D+, brick long, 3,8 km eau libre), répétition nutrition/matériel course, puis affûtage 3 sem. → COURSE.</t>
  </si>
  <si>
    <t xml:space="preserve">JALONS À VALIDER (tes contrôles de progression)</t>
  </si>
  <si>
    <t xml:space="preserve">Quand</t>
  </si>
  <si>
    <t xml:space="preserve">Jalon</t>
  </si>
  <si>
    <t xml:space="preserve">Cible</t>
  </si>
  <si>
    <t xml:space="preserve">Sem. 4</t>
  </si>
  <si>
    <t xml:space="preserve">Test natation en 25 m</t>
  </si>
  <si>
    <t xml:space="preserve">Nager 200 m crawl continu (départ : ~50 m aujourd'hui). Respiration bilatérale.</t>
  </si>
  <si>
    <t xml:space="preserve">Sem. 8</t>
  </si>
  <si>
    <t xml:space="preserve">Bike fit réalisé</t>
  </si>
  <si>
    <t xml:space="preserve">Position validée par un pro. Réflexion prolongateurs/aéro lancée.</t>
  </si>
  <si>
    <t xml:space="preserve">Sem. 16</t>
  </si>
  <si>
    <t xml:space="preserve">Fin de fondation</t>
  </si>
  <si>
    <t xml:space="preserve">400 m crawl continu · vélo 3 h vallonné · CAP saine sans douleur.</t>
  </si>
  <si>
    <t xml:space="preserve">Sem. 24</t>
  </si>
  <si>
    <t xml:space="preserve">Home trainer rentabilisé</t>
  </si>
  <si>
    <t xml:space="preserve">Force/FTP en hausse · 1000 m crawl continu · 1er brick maîtrisé.</t>
  </si>
  <si>
    <t xml:space="preserve">Sem. 32</t>
  </si>
  <si>
    <t xml:space="preserve">Fin de construction</t>
  </si>
  <si>
    <t xml:space="preserve">1500 m continu · vélo 4 h · enchaînement vélo+course fluide.</t>
  </si>
  <si>
    <t xml:space="preserve">Sem. 40</t>
  </si>
  <si>
    <t xml:space="preserve">Eau libre lancée</t>
  </si>
  <si>
    <t xml:space="preserve">Nager en combinaison (lac), viser (sighting), gérer le rolling start.</t>
  </si>
  <si>
    <t xml:space="preserve">Sem. 42</t>
  </si>
  <si>
    <t xml:space="preserve">Test montagne vélo</t>
  </si>
  <si>
    <t xml:space="preserve">Enchaîner 2 cols sur une sortie longue · viser 2000+ m D+.</t>
  </si>
  <si>
    <t xml:space="preserve">Sem. 47</t>
  </si>
  <si>
    <t xml:space="preserve">COURSE TEST (Half)</t>
  </si>
  <si>
    <t xml:space="preserve">Finir un half vallonné. Tester nutrition, transitions, allure IM.</t>
  </si>
  <si>
    <t xml:space="preserve">Sem. 53-55</t>
  </si>
  <si>
    <t xml:space="preserve">Pic de charge</t>
  </si>
  <si>
    <t xml:space="preserve">Sortie vélo 5-6 h en montagne (2500-3000 D+) · brick long · 3,8 km eau libre.</t>
  </si>
  <si>
    <t xml:space="preserve">Sem. 62</t>
  </si>
  <si>
    <t xml:space="preserve">LÉ-MAN EVIAN</t>
  </si>
  <si>
    <t xml:space="preserve">Finir dans les temps. Nat ~1h30 · Vélo ~8-9 h (3900 D+, cutoffs cols) · Marathon ~5-6 h → ~14-16 h.</t>
  </si>
  <si>
    <t xml:space="preserve">Volume total prévu par phase (h) :</t>
  </si>
  <si>
    <t xml:space="preserve">TOTAL</t>
  </si>
  <si>
    <t xml:space="preserve">Dates (Lun-Dim)</t>
  </si>
  <si>
    <t xml:space="preserve">Type</t>
  </si>
  <si>
    <t xml:space="preserve">Objectif de la semaine</t>
  </si>
  <si>
    <t xml:space="preserve">Lundi</t>
  </si>
  <si>
    <t xml:space="preserve">Mardi</t>
  </si>
  <si>
    <t xml:space="preserve">Mercredi</t>
  </si>
  <si>
    <t xml:space="preserve">Jeudi</t>
  </si>
  <si>
    <t xml:space="preserve">Vendredi</t>
  </si>
  <si>
    <t xml:space="preserve">Samedi</t>
  </si>
  <si>
    <t xml:space="preserve">Dimanche</t>
  </si>
  <si>
    <t xml:space="preserve">Vol. cible (h)</t>
  </si>
  <si>
    <t xml:space="preserve">Validé</t>
  </si>
  <si>
    <t xml:space="preserve">Vol. réel (h)</t>
  </si>
  <si>
    <t xml:space="preserve">Notes</t>
  </si>
  <si>
    <t xml:space="preserve">6 juil → 12 juil 2026</t>
  </si>
  <si>
    <t xml:space="preserve">Charge</t>
  </si>
  <si>
    <t xml:space="preserve">Installer la routine. Ne pas chercher la perf : régularité + technique nat.</t>
  </si>
  <si>
    <t xml:space="preserve">Repos / mobilité</t>
  </si>
  <si>
    <t xml:space="preserve">Nat technique 40' (éducatifs crawl)</t>
  </si>
  <si>
    <t xml:space="preserve">Vélo Z2 1h15</t>
  </si>
  <si>
    <t xml:space="preserve">Nat technique+endurance 45' + gainage 10'</t>
  </si>
  <si>
    <t xml:space="preserve">Vélo long Z2 vallonné 1.5 h</t>
  </si>
  <si>
    <t xml:space="preserve">CAP longue contrôlée 1 h (trail facile OK)</t>
  </si>
  <si>
    <t xml:space="preserve">13 juil → 19 juil 2026</t>
  </si>
  <si>
    <t xml:space="preserve">Vélo long Z2 vallonné 2 h</t>
  </si>
  <si>
    <t xml:space="preserve">20 juil → 26 juil 2026</t>
  </si>
  <si>
    <t xml:space="preserve">Vélo long Z2 vallonné 2.25 h</t>
  </si>
  <si>
    <t xml:space="preserve">CAP longue contrôlée 1.25 h (trail facile OK)</t>
  </si>
  <si>
    <t xml:space="preserve">27 juil → 2 août 2026</t>
  </si>
  <si>
    <t xml:space="preserve">Récup</t>
  </si>
  <si>
    <t xml:space="preserve">TEST NATATION : viser 200 m crawl continu. Semaine allégée.</t>
  </si>
  <si>
    <t xml:space="preserve">Nat technique 30'</t>
  </si>
  <si>
    <t xml:space="preserve">Vélo Z2 45</t>
  </si>
  <si>
    <t xml:space="preserve">Nat facile 30'</t>
  </si>
  <si>
    <t xml:space="preserve">Vélo long Z2 vallonné 1.25 h</t>
  </si>
  <si>
    <t xml:space="preserve">CAP longue contrôlée 0.75 h (trail facile OK)</t>
  </si>
  <si>
    <t xml:space="preserve">3 août → 9 août 2026</t>
  </si>
  <si>
    <t xml:space="preserve">Technique crawl prioritaire. Volume vélo extérieur. RDV bike fit (sem. 8).</t>
  </si>
  <si>
    <t xml:space="preserve">10 août → 16 août 2026</t>
  </si>
  <si>
    <t xml:space="preserve">Vélo long Z2 vallonné 2.5 h</t>
  </si>
  <si>
    <t xml:space="preserve">17 août → 23 août 2026</t>
  </si>
  <si>
    <t xml:space="preserve">Vélo long Z2 vallonné 2.75 h</t>
  </si>
  <si>
    <t xml:space="preserve">CAP longue contrôlée 1.5 h (trail facile OK)</t>
  </si>
  <si>
    <t xml:space="preserve">24 août → 30 août 2026</t>
  </si>
  <si>
    <t xml:space="preserve">31 août → 6 sept 2026</t>
  </si>
  <si>
    <t xml:space="preserve">Consolider la base aérobie. Crawl : viser longueurs continues.</t>
  </si>
  <si>
    <t xml:space="preserve">Vélo long Z2 vallonné 2.5 h + 10' CAP (1er brick léger)</t>
  </si>
  <si>
    <t xml:space="preserve">7 sept → 13 sept 2026</t>
  </si>
  <si>
    <t xml:space="preserve">Vélo long Z2 vallonné 2.75 h + 10' CAP (1er brick léger)</t>
  </si>
  <si>
    <t xml:space="preserve">14 sept → 20 sept 2026</t>
  </si>
  <si>
    <t xml:space="preserve">Vélo long Z2 vallonné 3 h + 10' CAP (1er brick léger)</t>
  </si>
  <si>
    <t xml:space="preserve">21 sept → 27 sept 2026</t>
  </si>
  <si>
    <t xml:space="preserve">28 sept → 4 oct 2026</t>
  </si>
  <si>
    <t xml:space="preserve">5 oct → 11 oct 2026</t>
  </si>
  <si>
    <t xml:space="preserve">12 oct → 18 oct 2026</t>
  </si>
  <si>
    <t xml:space="preserve">Vélo long Z2 vallonné 3.25 h + 10' CAP (1er brick léger)</t>
  </si>
  <si>
    <t xml:space="preserve">19 oct → 25 oct 2026</t>
  </si>
  <si>
    <t xml:space="preserve">Vélo long Z2 vallonné 1.75 h</t>
  </si>
  <si>
    <t xml:space="preserve">26 oct → 1 nov 2026</t>
  </si>
  <si>
    <t xml:space="preserve">Hiver : CONSTANCE avant tout. Home trainer = qualité + force. Bricks courts. Ne pas craquer.</t>
  </si>
  <si>
    <t xml:space="preserve">Nat technique + 800 m continu (50')</t>
  </si>
  <si>
    <t xml:space="preserve">Vélo HT sweet spot + force basse cadence 2×15' (1h05)</t>
  </si>
  <si>
    <t xml:space="preserve">Nat endurance 50' + gainage 10'</t>
  </si>
  <si>
    <t xml:space="preserve">Vélo 2.5 h avec dénivelé/bosses (HT ou route) + brick CAP 20'</t>
  </si>
  <si>
    <t xml:space="preserve">CAP longue 1h30</t>
  </si>
  <si>
    <t xml:space="preserve">2 nov → 8 nov 2026</t>
  </si>
  <si>
    <t xml:space="preserve">Nat technique + 900 m continu (50')</t>
  </si>
  <si>
    <t xml:space="preserve">Vélo 2.75 h avec dénivelé/bosses (HT ou route) + brick CAP 20'</t>
  </si>
  <si>
    <t xml:space="preserve">9 nov → 15 nov 2026</t>
  </si>
  <si>
    <t xml:space="preserve">Nat technique + 1000 m continu (50')</t>
  </si>
  <si>
    <t xml:space="preserve">Vélo 3 h avec dénivelé/bosses (HT ou route) + brick CAP 20'</t>
  </si>
  <si>
    <t xml:space="preserve">16 nov → 22 nov 2026</t>
  </si>
  <si>
    <t xml:space="preserve">Nat technique 35'</t>
  </si>
  <si>
    <t xml:space="preserve">Vélo HT facile 45'</t>
  </si>
  <si>
    <t xml:space="preserve">Vélo 1.75 h avec dénivelé/bosses (HT ou route) + brick CAP 10'</t>
  </si>
  <si>
    <t xml:space="preserve">CAP longue 1h00</t>
  </si>
  <si>
    <t xml:space="preserve">23 nov → 29 nov 2026</t>
  </si>
  <si>
    <t xml:space="preserve">Cœur de l'hiver. Monter le vélo + distance continue en natation. Tenir le cap malgré la météo.</t>
  </si>
  <si>
    <t xml:space="preserve">30 nov → 6 déc 2026</t>
  </si>
  <si>
    <t xml:space="preserve">Nat technique + 1100 m continu (50')</t>
  </si>
  <si>
    <t xml:space="preserve">Vélo 3.25 h avec dénivelé/bosses (HT ou route) + brick CAP 20'</t>
  </si>
  <si>
    <t xml:space="preserve">7 déc → 13 déc 2026</t>
  </si>
  <si>
    <t xml:space="preserve">Nat technique + 1200 m continu (50')</t>
  </si>
  <si>
    <t xml:space="preserve">Vélo 3.5 h avec dénivelé/bosses (HT ou route) + brick CAP 20'</t>
  </si>
  <si>
    <t xml:space="preserve">14 déc → 20 déc 2026</t>
  </si>
  <si>
    <t xml:space="preserve">Vélo 2 h avec dénivelé/bosses (HT ou route) + brick CAP 10'</t>
  </si>
  <si>
    <t xml:space="preserve">21 déc → 27 déc 2026</t>
  </si>
  <si>
    <t xml:space="preserve">28 déc → 3 janv 2027</t>
  </si>
  <si>
    <t xml:space="preserve">Nat technique + 1300 m continu (50')</t>
  </si>
  <si>
    <t xml:space="preserve">4 janv → 10 janv 2027</t>
  </si>
  <si>
    <t xml:space="preserve">Nat technique + 1400 m continu (50')</t>
  </si>
  <si>
    <t xml:space="preserve">Vélo 3.75 h avec dénivelé/bosses (HT ou route) + brick CAP 20'</t>
  </si>
  <si>
    <t xml:space="preserve">11 janv → 17 janv 2027</t>
  </si>
  <si>
    <t xml:space="preserve">18 janv → 24 janv 2027</t>
  </si>
  <si>
    <t xml:space="preserve">Fin de construction : 1500 m continu, enchaînement vélo→course fluide. Le printemps arrive.</t>
  </si>
  <si>
    <t xml:space="preserve">25 janv → 31 janv 2027</t>
  </si>
  <si>
    <t xml:space="preserve">Nat technique + 1500 m continu (50')</t>
  </si>
  <si>
    <t xml:space="preserve">1 févr → 7 févr 2027</t>
  </si>
  <si>
    <t xml:space="preserve">Vélo 4 h avec dénivelé/bosses (HT ou route) + brick CAP 20'</t>
  </si>
  <si>
    <t xml:space="preserve">8 févr → 14 févr 2027</t>
  </si>
  <si>
    <t xml:space="preserve">15 févr → 21 févr 2027</t>
  </si>
  <si>
    <t xml:space="preserve">Volumes longs + allure IM sur le vélo. Lancer l'eau libre dès l'été.</t>
  </si>
  <si>
    <t xml:space="preserve">Nat seuil/endurance 1800 m (1h)</t>
  </si>
  <si>
    <t xml:space="preserve">CAP allure IM : 3×10' (1h)</t>
  </si>
  <si>
    <t xml:space="preserve">Vélo côtes : 5×4' en bosse (force) (1h20)</t>
  </si>
  <si>
    <t xml:space="preserve">Nat eau libre / endurance 1h + gainage</t>
  </si>
  <si>
    <t xml:space="preserve">Vélo long vallonné 3.5 h — chercher le D+ (allure IM en côte) + brick CAP 30-40'</t>
  </si>
  <si>
    <t xml:space="preserve">CAP longue 1h45 (sur fatigue vélo)</t>
  </si>
  <si>
    <t xml:space="preserve">22 févr → 28 févr 2027</t>
  </si>
  <si>
    <t xml:space="preserve">Nat seuil/endurance 2000 m (1h)</t>
  </si>
  <si>
    <t xml:space="preserve">Vélo long vallonné 4 h — chercher le D+ (allure IM en côte) + brick CAP 30-40'</t>
  </si>
  <si>
    <t xml:space="preserve">1 mars → 7 mars 2027</t>
  </si>
  <si>
    <t xml:space="preserve">Nat seuil/endurance 2200 m (1h)</t>
  </si>
  <si>
    <t xml:space="preserve">Vélo long vallonné 4.5 h — chercher le D+ (allure IM en côte) + brick CAP 30-40'</t>
  </si>
  <si>
    <t xml:space="preserve">8 mars → 14 mars 2027</t>
  </si>
  <si>
    <t xml:space="preserve">Nat technique 40'</t>
  </si>
  <si>
    <t xml:space="preserve">CAP facile 40'</t>
  </si>
  <si>
    <t xml:space="preserve">Vélo Z2 1h</t>
  </si>
  <si>
    <t xml:space="preserve">Nat facile 35'</t>
  </si>
  <si>
    <t xml:space="preserve">Vélo long vallonné 2.5 h — chercher le D+ (allure IM en côte) + brick CAP 15'</t>
  </si>
  <si>
    <t xml:space="preserve">CAP longue 1h10 (sur fatigue vélo)</t>
  </si>
  <si>
    <t xml:space="preserve">15 mars → 21 mars 2027</t>
  </si>
  <si>
    <t xml:space="preserve">22 mars → 28 mars 2027</t>
  </si>
  <si>
    <t xml:space="preserve">Nat seuil/endurance 2400 m (1h)</t>
  </si>
  <si>
    <t xml:space="preserve">29 mars → 4 avr 2027</t>
  </si>
  <si>
    <t xml:space="preserve">Nat seuil/endurance 2600 m (1h)</t>
  </si>
  <si>
    <t xml:space="preserve">Vélo long vallonné 5 h — chercher le D+ (allure IM en côte) + brick CAP 30-40'</t>
  </si>
  <si>
    <t xml:space="preserve">5 avr → 11 avr 2027</t>
  </si>
  <si>
    <t xml:space="preserve">Gros samedis vélo+course (brick). Natation eau libre + sighting.</t>
  </si>
  <si>
    <t xml:space="preserve">12 avr → 18 avr 2027</t>
  </si>
  <si>
    <t xml:space="preserve">Nat seuil/endurance 2600 m (eau libre dès que possible) (1h)</t>
  </si>
  <si>
    <t xml:space="preserve">19 avr → 25 avr 2027</t>
  </si>
  <si>
    <t xml:space="preserve">Nat seuil/endurance 2800 m EL (1h)</t>
  </si>
  <si>
    <t xml:space="preserve">26 avr → 2 mai 2027</t>
  </si>
  <si>
    <t xml:space="preserve">Nat seuil/endurance 3000 m EL (1h)</t>
  </si>
  <si>
    <t xml:space="preserve">3 mai → 9 mai 2027</t>
  </si>
  <si>
    <t xml:space="preserve">10 mai → 16 mai 2027</t>
  </si>
  <si>
    <t xml:space="preserve">Nat seuil/endurance 2500 m EL (1h)</t>
  </si>
  <si>
    <t xml:space="preserve">17 mai → 23 mai 2027</t>
  </si>
  <si>
    <t xml:space="preserve">Affût.</t>
  </si>
  <si>
    <t xml:space="preserve">Affûtage avant le 70.3 : on lève le pied, on reste frais.</t>
  </si>
  <si>
    <t xml:space="preserve">Nat seuil/endurance aff. test (1h)</t>
  </si>
  <si>
    <t xml:space="preserve">Vélo long vallonné 2.5 h — chercher le D+ (allure IM en côte) + brick CAP 30-40'</t>
  </si>
  <si>
    <t xml:space="preserve">24 mai → 30 mai 2027</t>
  </si>
  <si>
    <t xml:space="preserve">TEST 70.3</t>
  </si>
  <si>
    <t xml:space="preserve">COURSE TEST 70.3 (half) le dimanche. Répétition générale : nutrition, transitions, allure cible IM.</t>
  </si>
  <si>
    <t xml:space="preserve">Nat facile 30' (déliage)</t>
  </si>
  <si>
    <t xml:space="preserve">CAP 30' + 4 lignes vives</t>
  </si>
  <si>
    <t xml:space="preserve">Vélo 45' avec 3×2' allure course</t>
  </si>
  <si>
    <t xml:space="preserve">Repos total + prépa matériel</t>
  </si>
  <si>
    <t xml:space="preserve">Activation 20' vélo + 10' CAP</t>
  </si>
  <si>
    <t xml:space="preserve">&gt;&gt;&gt; COURSE 70.3 &lt;&lt;&lt;</t>
  </si>
  <si>
    <t xml:space="preserve">31 mai → 6 juin 2027</t>
  </si>
  <si>
    <t xml:space="preserve">Capitaliser sur le test. Derniers gros volumes spécifiques.</t>
  </si>
  <si>
    <t xml:space="preserve">7 juin → 13 juin 2027</t>
  </si>
  <si>
    <t xml:space="preserve">Nat seuil/endurance 3500 m EL (1h)</t>
  </si>
  <si>
    <t xml:space="preserve">14 juin → 20 juin 2027</t>
  </si>
  <si>
    <t xml:space="preserve">21 juin → 27 juin 2027</t>
  </si>
  <si>
    <t xml:space="preserve">Reprise progressive après spécifique. Monter vers le pic.</t>
  </si>
  <si>
    <t xml:space="preserve">Nat 2500 m EL</t>
  </si>
  <si>
    <t xml:space="preserve">CAP allure IM 3×12' (1h)</t>
  </si>
  <si>
    <t xml:space="preserve">Vélo SS 1h20</t>
  </si>
  <si>
    <t xml:space="preserve">Nat EL 1h + gainage</t>
  </si>
  <si>
    <t xml:space="preserve">Vélo 5 h vallonné (2000 D+) + brick CAP 30' (test nutrition)</t>
  </si>
  <si>
    <t xml:space="preserve">CAP longue 1h45</t>
  </si>
  <si>
    <t xml:space="preserve">28 juin → 4 juil 2027</t>
  </si>
  <si>
    <t xml:space="preserve">Gros volume. Tester la nutrition course sur le long.</t>
  </si>
  <si>
    <t xml:space="preserve">Nat 3000 m EL</t>
  </si>
  <si>
    <t xml:space="preserve">CAP allure IM 1h</t>
  </si>
  <si>
    <t xml:space="preserve">Vélo SS 1h30</t>
  </si>
  <si>
    <t xml:space="preserve">Nat EL 1h</t>
  </si>
  <si>
    <t xml:space="preserve">Vélo 5h30 montagne (2500 D+) + brick 40' (nutrition réelle)</t>
  </si>
  <si>
    <t xml:space="preserve">CAP longue 2h00</t>
  </si>
  <si>
    <t xml:space="preserve">5 juil → 11 juil 2027</t>
  </si>
  <si>
    <t xml:space="preserve">PIC</t>
  </si>
  <si>
    <t xml:space="preserve">SEMAINE PIC #1 : la plus grosse charge vélo de la prépa.</t>
  </si>
  <si>
    <t xml:space="preserve">Nat 3500 m EL</t>
  </si>
  <si>
    <t xml:space="preserve">CAP 1h</t>
  </si>
  <si>
    <t xml:space="preserve">Vélo 6 h montagne (2800-3000 D+) + brick 30' (simulation Evian)</t>
  </si>
  <si>
    <t xml:space="preserve">CAP longue 2h15</t>
  </si>
  <si>
    <t xml:space="preserve">12 juil → 18 juil 2027</t>
  </si>
  <si>
    <t xml:space="preserve">Décharge : assimiler le pic #1.</t>
  </si>
  <si>
    <t xml:space="preserve">Nat 2000 m</t>
  </si>
  <si>
    <t xml:space="preserve">Nat facile 40'</t>
  </si>
  <si>
    <t xml:space="preserve">Vélo 2h30 facile</t>
  </si>
  <si>
    <t xml:space="preserve">CAP 1h10</t>
  </si>
  <si>
    <t xml:space="preserve">19 juil → 25 juil 2027</t>
  </si>
  <si>
    <t xml:space="preserve">SEMAINE PIC #2 : valider 3,8 km eau libre + brick long.</t>
  </si>
  <si>
    <t xml:space="preserve">Nat 3,8 km EL (chrono)</t>
  </si>
  <si>
    <t xml:space="preserve">CAP allure IM 3×10'</t>
  </si>
  <si>
    <t xml:space="preserve">Vélo 5h30 vallonné + brick CAP 45' (répét. générale profil Evian)</t>
  </si>
  <si>
    <t xml:space="preserve">26 juil → 1 août 2027</t>
  </si>
  <si>
    <t xml:space="preserve">Début affûtage : on baisse le volume, on garde un peu d'intensité.</t>
  </si>
  <si>
    <t xml:space="preserve">Nat 2500 m</t>
  </si>
  <si>
    <t xml:space="preserve">CAP 4×4' allure IM (50')</t>
  </si>
  <si>
    <t xml:space="preserve">Vélo 2×15' SS (1h)</t>
  </si>
  <si>
    <t xml:space="preserve">Nat 40'</t>
  </si>
  <si>
    <t xml:space="preserve">Vélo 3h + brick 20'</t>
  </si>
  <si>
    <t xml:space="preserve">CAP 1h30</t>
  </si>
  <si>
    <t xml:space="preserve">2 août → 8 août 2027</t>
  </si>
  <si>
    <t xml:space="preserve">Affûtage : volume −30 %, fraîcheur prioritaire.</t>
  </si>
  <si>
    <t xml:space="preserve">CAP 3×5' allure IM (45')</t>
  </si>
  <si>
    <t xml:space="preserve">Vélo 2h30 + brick 15'</t>
  </si>
  <si>
    <t xml:space="preserve">CAP 1h15</t>
  </si>
  <si>
    <t xml:space="preserve">9 août → 15 août 2027</t>
  </si>
  <si>
    <t xml:space="preserve">Affûtage : volume −45 %. Sommeil, récup, logistique course.</t>
  </si>
  <si>
    <t xml:space="preserve">Nat 1800 m</t>
  </si>
  <si>
    <t xml:space="preserve">CAP 4×3' (40')</t>
  </si>
  <si>
    <t xml:space="preserve">Vélo 50' avec 3×3' allure</t>
  </si>
  <si>
    <t xml:space="preserve">Nat 35'</t>
  </si>
  <si>
    <t xml:space="preserve">Vélo 1h45 + brick 15'</t>
  </si>
  <si>
    <t xml:space="preserve">CAP 1h00</t>
  </si>
  <si>
    <t xml:space="preserve">16 août → 22 août 2027</t>
  </si>
  <si>
    <t xml:space="preserve">Avant-dernière semaine. Jambes qui reviennent fraîches.</t>
  </si>
  <si>
    <t xml:space="preserve">Nat 1500 m</t>
  </si>
  <si>
    <t xml:space="preserve">CAP 6×1' vifs (35')</t>
  </si>
  <si>
    <t xml:space="preserve">Vélo 45' easy + 4 sprints</t>
  </si>
  <si>
    <t xml:space="preserve">Repos</t>
  </si>
  <si>
    <t xml:space="preserve">Vélo 1h15 + brick 10'</t>
  </si>
  <si>
    <t xml:space="preserve">CAP 45'</t>
  </si>
  <si>
    <t xml:space="preserve">23 août → 29 août 2027</t>
  </si>
  <si>
    <t xml:space="preserve">Semaine −1 : on entretient, on ne fatigue plus.</t>
  </si>
  <si>
    <t xml:space="preserve">Nat 1200 m déliage</t>
  </si>
  <si>
    <t xml:space="preserve">CAP 30' + 4 lignes</t>
  </si>
  <si>
    <t xml:space="preserve">Vélo 40' avec 3×2'</t>
  </si>
  <si>
    <t xml:space="preserve">Vélo 1h + 10' CAP</t>
  </si>
  <si>
    <t xml:space="preserve">CAP 30'</t>
  </si>
  <si>
    <t xml:space="preserve">30 août → 5 sept 2027</t>
  </si>
  <si>
    <t xml:space="preserve">Semaine de course : déliage, prépa matériel/nutrition, repos.</t>
  </si>
  <si>
    <t xml:space="preserve">Nat 1000 m facile</t>
  </si>
  <si>
    <t xml:space="preserve">CAP 25' + 3 accélérations</t>
  </si>
  <si>
    <t xml:space="preserve">Vélo 30' + 3×1'</t>
  </si>
  <si>
    <t xml:space="preserve">Repos total</t>
  </si>
  <si>
    <t xml:space="preserve">Repos + check matériel</t>
  </si>
  <si>
    <t xml:space="preserve">Repos / voyage</t>
  </si>
  <si>
    <t xml:space="preserve">6 sept → 12 sept 2027</t>
  </si>
  <si>
    <t xml:space="preserve">COURSE</t>
  </si>
  <si>
    <t xml:space="preserve">SEMAINE D'IRONMAN. Tout est fait. Confiance et exécution.</t>
  </si>
  <si>
    <t xml:space="preserve">Nat 800 m très facile</t>
  </si>
  <si>
    <t xml:space="preserve">CAP 20' léger + 3 lignes</t>
  </si>
  <si>
    <t xml:space="preserve">Activation courte 20'</t>
  </si>
  <si>
    <t xml:space="preserve">Repos + prépa sacs</t>
  </si>
  <si>
    <t xml:space="preserve">Repos / reco parcours léger</t>
  </si>
  <si>
    <t xml:space="preserve">&gt;&gt;&gt; IRONMAN &lt;&lt;&lt;</t>
  </si>
  <si>
    <t xml:space="preserve">GLOSSAIRE DES SÉANCES — comment exécuter chaque type</t>
  </si>
  <si>
    <t xml:space="preserve">Zones d'effort simples : Z2 = endurance, tu peux parler en phrases. Seuil = soutenu, phrases courtes. Allure IM = ce que tu tiendrais 6-7 h.</t>
  </si>
  <si>
    <t xml:space="preserve">Séance</t>
  </si>
  <si>
    <t xml:space="preserve">Objectif</t>
  </si>
  <si>
    <t xml:space="preserve">Comment l'exécuter</t>
  </si>
  <si>
    <t xml:space="preserve">Nat technique (éducatifs)</t>
  </si>
  <si>
    <t xml:space="preserve">Construire un crawl efficace. La priorité absolue des 4 premiers mois.</t>
  </si>
  <si>
    <t xml:space="preserve">Échauffement 200 m. Puis séries courtes avec récup : rattrapé, bras seul, battements planche (peu), poussées-glisse. Travail position du corps + respiration bilatérale (3 temps). Ne pas chercher la vitesse. 12-16×25 m avec repos. Idéalement quelques cours avec un MNS au début — l'investissement le plus rentable de toute la prépa.</t>
  </si>
  <si>
    <t xml:space="preserve">Nat distance continue</t>
  </si>
  <si>
    <t xml:space="preserve">Tenir la distance sans s'arrêter, en restant relâché.</t>
  </si>
  <si>
    <t xml:space="preserve">Après échauffement, nager la distance cible en continu, allure modérée et régulière. L'objectif est la continuité et l'économie, pas le chrono.</t>
  </si>
  <si>
    <t xml:space="preserve">Nat eau libre (EL)</t>
  </si>
  <si>
    <t xml:space="preserve">Transférer la technique au milieu réel.</t>
  </si>
  <si>
    <t xml:space="preserve">Combinaison néoprène (flottaison + sensation course). Travailler le sighting (relever les yeux tous les 6-10 mouvements pour viser un repère), nager droit, gérer le départ. JAMAIS seul : zone surveillée, bouée de nage, ou partenaire.</t>
  </si>
  <si>
    <t xml:space="preserve">CAP qualité</t>
  </si>
  <si>
    <t xml:space="preserve">Entretenir l'économie de course sans fatiguer.</t>
  </si>
  <si>
    <t xml:space="preserve">Échauffement 15'. Puis intervalles (ex. 5×3' au seuil, récup 1'30 ; ou 6×1' en côte). Retour au calme 10'. 1 seule fois/semaine — c'est suffisant vu ton niveau.</t>
  </si>
  <si>
    <t xml:space="preserve">CAP allure IM</t>
  </si>
  <si>
    <t xml:space="preserve">Apprendre l'allure marathon d'Ironman (plus lente que tu crois).</t>
  </si>
  <si>
    <t xml:space="preserve">Blocs continus (ex. 3×10') à l'allure visée le jour J — confortable, contrôlée. Souvent placée en fin de sortie ou après le vélo.</t>
  </si>
  <si>
    <t xml:space="preserve">CAP longue</t>
  </si>
  <si>
    <t xml:space="preserve">Endurance + résistance, sans détruire les jambes.</t>
  </si>
  <si>
    <t xml:space="preserve">Allure facile (Z2), terrain roulant ou trail facile. On PLAFONNE volontairement vers 1h45-2h15 : sur IM, le long se travaille surtout à vélo et en brick, pas en courant 3 h.</t>
  </si>
  <si>
    <t xml:space="preserve">Vélo Z2</t>
  </si>
  <si>
    <t xml:space="preserve">Construire le moteur aérobie. La base du vélo.</t>
  </si>
  <si>
    <t xml:space="preserve">Allure facile et régulière, tu peux parler. Cadence souple (85-95 rpm). C'est du volume tranquille : ne pas transformer en course.</t>
  </si>
  <si>
    <t xml:space="preserve">Vélo sweet spot (SS)</t>
  </si>
  <si>
    <t xml:space="preserve">Gagner de la puissance efficacement, surtout au home trainer l'hiver.</t>
  </si>
  <si>
    <t xml:space="preserve">Après échauffement : blocs à effort 'soutenu mais soutenable' (ex. 2×20', récup 5'). Sensation 7-8/10. Le meilleur rapport temps/gain quand on manque d'heures.</t>
  </si>
  <si>
    <t xml:space="preserve">Vélo côtes / cols</t>
  </si>
  <si>
    <t xml:space="preserve">Construire les jambes de grimpeur qu'Evian exige (3900 D+).</t>
  </si>
  <si>
    <t xml:space="preserve">Répétitions en montée (ex. 5×4' en bosse à effort soutenu, ou grimper un col en Z2-seuil). Travail de force : gros braquet à basse cadence (50-60 rpm) sur bosses courtes. L'hiver, se fait au home trainer en montant la résistance. Objectif : tenir un col sans exploser, et rester efficace en fin de sortie (le Corbier est placé tard exprès).</t>
  </si>
  <si>
    <t xml:space="preserve">Vélo long</t>
  </si>
  <si>
    <t xml:space="preserve">Encaisser des heures + du dénivelé, et tester la nutrition.</t>
  </si>
  <si>
    <t xml:space="preserve">Z2 majoritaire mais VALLONNÉ : cherche le D+, c'est la spécificité d'Evian. Portions à allure IM en côte en fin de prépa. C'est LA séance où tu testes ravitaillement, hydratation, position, et où tu répètes le profil montagneux. Monte progressivement (jamais +30 min d'un long à l'autre).</t>
  </si>
  <si>
    <t xml:space="preserve">Brick (enchaînement)</t>
  </si>
  <si>
    <t xml:space="preserve">La séance reine de l'IM : courir sur des jambes de vélo.</t>
  </si>
  <si>
    <t xml:space="preserve">Descendre du vélo et enchaîner immédiatement la course (transition &lt;5 min). Même court (15-20'), l'adaptation est précieuse. Les 1ers km semblent étranges : c'est normal, ça s'apprend.</t>
  </si>
  <si>
    <t xml:space="preserve">Gainage / renfo</t>
  </si>
  <si>
    <t xml:space="preserve">Prévention blessure + maintien postural sur le long.</t>
  </si>
  <si>
    <t xml:space="preserve">10-15' : planches, gainage latéral, pont fessier, équilibre unipodal, chaîne postérieure. 1-2×/sem. On réduit en phase d'affûtage.</t>
  </si>
  <si>
    <t xml:space="preserve">Tai Chi (quotidien)</t>
  </si>
  <si>
    <t xml:space="preserve">Régulation nerveuse, mobilité, focus. 10 min max/jour.</t>
  </si>
  <si>
    <t xml:space="preserve">Idéal le soir (bascule parasympathique, meilleur sommeil) ou le matin (focus). Mouvements lents, respiration. À considérer comme de la récupération active, pas comme une charge — c'est complémentaire, jamais une corvée de plus.</t>
  </si>
  <si>
    <t xml:space="preserve">La récupération EST l'entraînement.</t>
  </si>
  <si>
    <t xml:space="preserve">Vrai repos ou marche/étirements doux/mobilité. C'est là que les adaptations se font. Ne pas culpabiliser, ne pas combler par 'juste une petite séance'.</t>
  </si>
  <si>
    <t xml:space="preserve">NUTRITION — petit-déj, déjeuner &amp; carburant course</t>
  </si>
  <si>
    <t xml:space="preserve">Logique : tu es performance, pas régime. On ne compte pas les calories — on adapte les glucides à la charge du jour. Plus tu t'entraînes ce jour-là, plus tu mets de féculents.</t>
  </si>
  <si>
    <t xml:space="preserve">PETIT-DÉJEUNER</t>
  </si>
  <si>
    <t xml:space="preserve">Contexte</t>
  </si>
  <si>
    <t xml:space="preserve">Pourquoi</t>
  </si>
  <si>
    <t xml:space="preserve">Exemples concrets</t>
  </si>
  <si>
    <t xml:space="preserve">Jour d'entraînement long (matin) ou avant grosse séance</t>
  </si>
  <si>
    <t xml:space="preserve">Glucides hauts, peu de fibres/gras (digestion).</t>
  </si>
  <si>
    <t xml:space="preserve">Flocons d'avoine + banane + miel + un peu de skyr/yaourt. OU pain blanc/biscottes + miel/confiture + 1 fruit. Café OK. Manger 1h30-2h avant si possible.</t>
  </si>
  <si>
    <t xml:space="preserve">Jour d'entraînement normal</t>
  </si>
  <si>
    <t xml:space="preserve">Glucides + protéines, rassasiant et durable.</t>
  </si>
  <si>
    <t xml:space="preserve">Flocons d'avoine + fruits rouges + yaourt grec/skyr + noix/graines. OU pain complet + œufs + fruit. Boisson : eau + café/thé.</t>
  </si>
  <si>
    <t xml:space="preserve">Jour de repos</t>
  </si>
  <si>
    <t xml:space="preserve">On lève un peu le pied sur les féculents, on garde les protéines.</t>
  </si>
  <si>
    <t xml:space="preserve">Œufs + pain complet + légume (tomate/avocat) + 1 fruit. OU yaourt grec + fruits + poignée de noix.</t>
  </si>
  <si>
    <t xml:space="preserve">Après une séance du matin (récup)</t>
  </si>
  <si>
    <t xml:space="preserve">Refaire le plein dans l'heure : glucides + protéines.</t>
  </si>
  <si>
    <t xml:space="preserve">Si pas déjà pris : ajouter une source de protéines (skyr, œufs, lait) + glucides (fruit, pain, flocons). La fenêtre post-effort compte sur ce volume d'entraînement.</t>
  </si>
  <si>
    <t xml:space="preserve">DÉJEUNER (midi)</t>
  </si>
  <si>
    <t xml:space="preserve">Ta structure de base, qui marche déjà : FÉCULENT + PROTÉINE + LÉGUME. On la périodise selon la charge.</t>
  </si>
  <si>
    <t xml:space="preserve">Jour</t>
  </si>
  <si>
    <t xml:space="preserve">Assiette type</t>
  </si>
  <si>
    <t xml:space="preserve">Détails / batch cooking du dimanche</t>
  </si>
  <si>
    <t xml:space="preserve">Gros volume / longue prévue cet aprèm</t>
  </si>
  <si>
    <t xml:space="preserve">Féculent généreux + protéine + légumes</t>
  </si>
  <si>
    <t xml:space="preserve">Riz/pâtes/patate douce/quinoa en bonne quantité + poulet/poisson/œufs/légumineuses + légumes. Glucides prioritaires pour recharger/charger.</t>
  </si>
  <si>
    <t xml:space="preserve">Jour d'entraînement standard</t>
  </si>
  <si>
    <t xml:space="preserve">Féculent modéré + protéine + légumes ++</t>
  </si>
  <si>
    <t xml:space="preserve">1 portion de féculent + protéine + grosse part de légumes + filet d'huile d'olive. Équilibré, énergie stable l'aprèm.</t>
  </si>
  <si>
    <t xml:space="preserve">Protéine + légumes ++ + féculent réduit</t>
  </si>
  <si>
    <t xml:space="preserve">Plus de légumes, féculent en plus petite portion (ou légumineuses qui font les deux). Les protéines restent constantes pour la récup musculaire.</t>
  </si>
  <si>
    <t xml:space="preserve">Batch cooking dominical</t>
  </si>
  <si>
    <t xml:space="preserve">Préparer les briques, assembler dans la semaine</t>
  </si>
  <si>
    <t xml:space="preserve">Cuire en lot : une grande casserole de riz/quinoa, des protéines (blancs de poulet, lentilles, œufs durs), un plateau de légumes rôtis. Tu composes tes midis en 2 min. C'est l'habitude structurante n°1 de ta semaine.</t>
  </si>
  <si>
    <t xml:space="preserve">DÎNER (le soir, en famille)</t>
  </si>
  <si>
    <t xml:space="preserve">Rôle du soir : RÉCUPÉRER de la séance du jour + CHARGER pour la séance du lendemain. Repas familial varié, tu ajustes juste les féculents selon demain.</t>
  </si>
  <si>
    <t xml:space="preserve">Priorité</t>
  </si>
  <si>
    <t xml:space="preserve">Après une grosse séance / avant une longue le lendemain</t>
  </si>
  <si>
    <t xml:space="preserve">Reconstituer les réserves : féculents généreux + protéines.</t>
  </si>
  <si>
    <t xml:space="preserve">Pâtes/riz/pommes de terre/patate douce en bonne quantité + viande/poisson/œufs + légumes. Un dessert glucidique simple (compote, riz au lait, fruit) est le bienvenu ces soirs-là.</t>
  </si>
  <si>
    <t xml:space="preserve">Soir de journée standard</t>
  </si>
  <si>
    <t xml:space="preserve">Protéines + légumes + féculent modéré.</t>
  </si>
  <si>
    <t xml:space="preserve">Une protéine (poisson gras 2×/sem : saumon, maquereau, sardine — utile en endurance), légumes à volonté, portion de féculent complet. Huile d'olive/colza.</t>
  </si>
  <si>
    <t xml:space="preserve">Veille de jour de repos</t>
  </si>
  <si>
    <t xml:space="preserve">On allège les féculents, on garde les protéines et les légumes.</t>
  </si>
  <si>
    <t xml:space="preserve">Soupe + protéine + légumes, ou une belle salade composée avec légumineuses. Repas plus léger, plus digeste.</t>
  </si>
  <si>
    <t xml:space="preserve">Récupération &amp; sommeil</t>
  </si>
  <si>
    <t xml:space="preserve">Favoriser la réparation et un bon sommeil (clé sur 8-10 h/sem).</t>
  </si>
  <si>
    <t xml:space="preserve">Protéines à chaque dîner (réparation nocturne). Éviter les repas très gras/copieux trop tard. Alcool : le limiter fortement en prépa — il dégrade récup et sommeil. Bien s'hydrater après les séances du soir.</t>
  </si>
  <si>
    <t xml:space="preserve">Après une séance tardive</t>
  </si>
  <si>
    <t xml:space="preserve">Ne pas se coucher en déficit.</t>
  </si>
  <si>
    <t xml:space="preserve">Même si tu as fini tard : un vrai repas avec glucides + protéines dans l'heure. Sauter le repas post-séance = récup ratée et fringale nocturne.</t>
  </si>
  <si>
    <t xml:space="preserve">CARBURANT À L'ENTRAÎNEMENT &amp; EN COURSE</t>
  </si>
  <si>
    <t xml:space="preserve">Règle d'or : entraîne ton ventre.</t>
  </si>
  <si>
    <t xml:space="preserve">L'erreur n°1 en IM = un système digestif jamais entraîné. Chaque sortie longue (&gt;1h30) = répétition de ta nutrition course. On commence léger et on monte.</t>
  </si>
  <si>
    <t xml:space="preserve">Combien de glucides/heure ?</t>
  </si>
  <si>
    <t xml:space="preserve">Sur le vélo long : viser 60 g/h au début, monter vers 80-90 g/h en fin de prépa (boisson glucidique + gels + barres/banane). Boire régulièrement, ne pas attendre la soif.</t>
  </si>
  <si>
    <t xml:space="preserve">Sel / électrolytes.</t>
  </si>
  <si>
    <t xml:space="preserve">Sur les longues sorties chaudes, ajouter des électrolytes (pastilles/boisson). Important en septembre s'il fait chaud.</t>
  </si>
  <si>
    <t xml:space="preserve">Avant une longue séance.</t>
  </si>
  <si>
    <t xml:space="preserve">Petit-déj glucidique 1h30-2h avant. Sur le vélo, commencer à manger dès la 1re heure, pas quand le coup de moins bien arrive.</t>
  </si>
  <si>
    <t xml:space="preserve">Le soir, en famille.</t>
  </si>
  <si>
    <t xml:space="preserve">Continue comme tu fais : varié et correct. Veille juste à avoir des féculents les soirs de grosse journée, et des protéines tous les soirs. C'est ta vraie fenêtre de récupération pour le lendemain.</t>
  </si>
  <si>
    <t xml:space="preserve">Fer &amp; énergie.</t>
  </si>
  <si>
    <t xml:space="preserve">Gros volume d'endurance = surveiller la fatigue chronique. Si baisse de forme inexpliquée et durable, un bilan sanguin (dont ferritine) chez le médecin est pertinent.</t>
  </si>
  <si>
    <t xml:space="preserve">Hydratation de base.</t>
  </si>
  <si>
    <t xml:space="preserve">L'élimination des sodas que tu as déjà actée est le bon réflexe. Eau en base, thé/café OK. Une boisson glucidique se réserve à l'effort long.</t>
  </si>
  <si>
    <t xml:space="preserve">MODE D'EMPLOI &amp; PRÉVENTION BLESSURE</t>
  </si>
  <si>
    <t xml:space="preserve">Comment suivre le plan</t>
  </si>
  <si>
    <t xml:space="preserve">Onglet « Plan hebdo » : une ligne = une semaine. Coche la colonne « Validé » (OK / Partiel / Manqué) et note ton volume réel + remarques. Le glossaire « Séances clés » explique chaque type de séance abrégé.</t>
  </si>
  <si>
    <t xml:space="preserve">Les jours sont indicatifs</t>
  </si>
  <si>
    <t xml:space="preserve">L'ordre Lun→Dim est une trame logique (qualité en début de semaine, longues le week-end). Décale selon ta vie, mais garde 2 principes : ne jamais enchaîner 2 grosses journées sans récup, et garder le vélo long + le brick le week-end.</t>
  </si>
  <si>
    <t xml:space="preserve">Si tu rates une semaine</t>
  </si>
  <si>
    <t xml:space="preserve">Tu NE sautes PAS en avant. Maladie, voyage, fatigue : tu reprends à la semaine ratée (ou tu refais une semaine de récup). La progression suppose que les briques précédentes sont posées. Mieux vaut finir le plan en 13 mois bien construits qu'en 14 troués.</t>
  </si>
  <si>
    <t xml:space="preserve">Règle des +10 %</t>
  </si>
  <si>
    <t xml:space="preserve">N'augmente jamais le volume d'une discipline de plus de ~10 % d'une semaine à l'autre, et la sortie longue de +30 min max. C'est ta meilleure assurance anti-blessure, surtout en course à pied.</t>
  </si>
  <si>
    <t xml:space="preserve">Signaux d'alerte (STOP)</t>
  </si>
  <si>
    <t xml:space="preserve">Douleur articulaire/tendineuse qui persiste, qui modifie ta foulée, ou qui revient à chaque séance = on s'arrête et on consulte. Une courbature non. Une douleur localisée qui s'aggrave, oui. Le tendon d'Achille et le genou sont les zones à surveiller quand on empile vélo + course.</t>
  </si>
  <si>
    <t xml:space="preserve">Sommeil = dopage légal</t>
  </si>
  <si>
    <t xml:space="preserve">Sur 8-10h d'entraînement/sem, le sommeil est le 4e sport. Vise la régularité. Une nuit courte avant une grosse séance : allège la séance, ne force pas.</t>
  </si>
  <si>
    <t xml:space="preserve">Bilan médical</t>
  </si>
  <si>
    <t xml:space="preserve">Avant de démarrer une prépa IM, un certificat / une visite chez le médecin du sport (voire un test d'effort) est recommandé, surtout pour valider l'absence de contre-indication cardiaque. Ce plan ne remplace pas un avis médical ni un coach en présentiel.</t>
  </si>
  <si>
    <t xml:space="preserve">Le coach natation</t>
  </si>
  <si>
    <t xml:space="preserve">Répétons-le car c'est le point clé : 3-5 séances avec un maître-nageur / club tri en début de prépa pour corriger ta technique de crawl vaut plus que 3 mois d'auto-apprentissage. C'est ton meilleur investissement.</t>
  </si>
  <si>
    <t xml:space="preserve">HIVER : ne pas craquer (le vrai enjeu de la phase 1)</t>
  </si>
  <si>
    <t xml:space="preserve">La motivation chute en nov-fév : c'est normal et prévu. Tactiques : (1) vise la CONSTANCE, pas la performance — une séance courte faite vaut mieux qu'une parfaite sautée. (2) Rends le home trainer supportable : série/film/musique, objectifs de séance courts. (3) Fixe-toi un mini-objectif d'hiver (ex. 1000 m continu en janvier) pour avoir un cap. (4) Coche tes séances dans l'app : voir la série grandir est un moteur puissant. (5) Le Tai Chi quotidien est ton ancre anti-décrochage — garde-le même les jours sans. (6) Autorise-toi 1 semaine plus light si besoin plutôt que d'abandonner. (7) Rappelle-toi le 'pourquoi' : Evian, le lac, les cols. Un objectif visualisé tient mieux qu'une contrainte. RAPPEL : sur toute la phase hiver (jusqu'à sem. 32) tu as 2 jours de repos/sem (lundi + vendredi) — ils sont là pour ça, tiens-les. Le retour à 6 jours se fait en mars (sem. 33), quand les jours rallongent.</t>
  </si>
  <si>
    <t xml:space="preserve">Spécificités Evian (LÉ-MAN Full) à préparer</t>
  </si>
  <si>
    <t xml:space="preserve">• Vélo montagneux : 3900 m D+, cols (Ramaz, Corbier tardif). Entraîne la grimpe ET la descente. • Barrières horaires : Ramaz avant ~7h45 de course, Corbier avant ~9h45 — tu dois avoir des jambes de grimpeur, pas juste finir. • Tunnels : lumières avant/arrière obligatoires sur le vélo. • Natation en lac Léman : eau ~20°C en sept. mais plus froide à l'entraînement → combinaison néoprène indispensable, s'y habituer tôt. • Rolling start + sortie à l'australienne (on sort et on replonge) : à répéter en eau libre. • Marathon final roulant en ville, mais sur des jambes cassées par la montagne : d'où l'importance des bricks.</t>
  </si>
  <si>
    <t xml:space="preserve">Course test (répétition générale)</t>
  </si>
  <si>
    <t xml:space="preserve">Cale un half-distance vallonné vers mai/juin 2027 (semaine 47) : c'est ta répétition grandeur nature pour tester nutrition, transitions, matériel et allure. Idéalement un parcours avec du dénivelé pour coller à Evian. Confirme aussi la date exacte 2027 d'Evian dès l'ouverture des inscriptions et réaligne la semaine 62 si besoin.</t>
  </si>
  <si>
    <t xml:space="preserve">Tai Chi</t>
  </si>
  <si>
    <t xml:space="preserve">10 min/jour, sans pression. Soir de préférence pour le sommeil et la bascule nerveuse après les journées chargées. C'est ton outil de régulation — garde-le simple et agréable, jamais une contrainte de plus.</t>
  </si>
</sst>
</file>

<file path=xl/styles.xml><?xml version="1.0" encoding="utf-8"?>
<styleSheet xmlns="http://schemas.openxmlformats.org/spreadsheetml/2006/main">
  <numFmts count="2">
    <numFmt numFmtId="164" formatCode="General"/>
    <numFmt numFmtId="165" formatCode="General"/>
  </numFmts>
  <fonts count="22">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2"/>
      <color rgb="FF1F3864"/>
      <name val="Arial"/>
      <family val="0"/>
      <charset val="1"/>
    </font>
    <font>
      <b val="true"/>
      <sz val="10"/>
      <name val="Arial"/>
      <family val="0"/>
      <charset val="1"/>
    </font>
    <font>
      <sz val="10"/>
      <color rgb="FF404040"/>
      <name val="Arial"/>
      <family val="0"/>
      <charset val="1"/>
    </font>
    <font>
      <b val="true"/>
      <sz val="11"/>
      <color rgb="FFFFFFFF"/>
      <name val="Arial"/>
      <family val="0"/>
      <charset val="1"/>
    </font>
    <font>
      <sz val="10"/>
      <name val="Arial"/>
      <family val="0"/>
      <charset val="1"/>
    </font>
    <font>
      <b val="true"/>
      <sz val="11"/>
      <color rgb="FF1F3864"/>
      <name val="Arial"/>
      <family val="0"/>
      <charset val="1"/>
    </font>
    <font>
      <b val="true"/>
      <sz val="9"/>
      <color rgb="FFFFFFFF"/>
      <name val="Arial"/>
      <family val="0"/>
      <charset val="1"/>
    </font>
    <font>
      <b val="true"/>
      <sz val="11"/>
      <color rgb="FF000000"/>
      <name val="Arial"/>
      <family val="0"/>
      <charset val="1"/>
    </font>
    <font>
      <sz val="9"/>
      <name val="Arial"/>
      <family val="0"/>
      <charset val="1"/>
    </font>
    <font>
      <i val="true"/>
      <sz val="9"/>
      <name val="Arial"/>
      <family val="0"/>
      <charset val="1"/>
    </font>
    <font>
      <b val="true"/>
      <sz val="9"/>
      <name val="Arial"/>
      <family val="0"/>
      <charset val="1"/>
    </font>
    <font>
      <b val="true"/>
      <sz val="9"/>
      <color rgb="FFC00000"/>
      <name val="Arial"/>
      <family val="0"/>
      <charset val="1"/>
    </font>
    <font>
      <b val="true"/>
      <sz val="14"/>
      <color rgb="FF1F3864"/>
      <name val="Arial"/>
      <family val="0"/>
      <charset val="1"/>
    </font>
    <font>
      <i val="true"/>
      <sz val="10"/>
      <name val="Arial"/>
      <family val="0"/>
      <charset val="1"/>
    </font>
    <font>
      <b val="true"/>
      <sz val="12"/>
      <color rgb="FFC00000"/>
      <name val="Arial"/>
      <family val="0"/>
      <charset val="1"/>
    </font>
    <font>
      <sz val="10"/>
      <color rgb="FF303030"/>
      <name val="Arial"/>
      <family val="0"/>
      <charset val="1"/>
    </font>
  </fonts>
  <fills count="9">
    <fill>
      <patternFill patternType="none"/>
    </fill>
    <fill>
      <patternFill patternType="gray125"/>
    </fill>
    <fill>
      <patternFill patternType="solid">
        <fgColor rgb="FF1F3864"/>
        <bgColor rgb="FF303030"/>
      </patternFill>
    </fill>
    <fill>
      <patternFill patternType="solid">
        <fgColor rgb="FF2E75B6"/>
        <bgColor rgb="FF0066CC"/>
      </patternFill>
    </fill>
    <fill>
      <patternFill patternType="solid">
        <fgColor rgb="FF548235"/>
        <bgColor rgb="FF339966"/>
      </patternFill>
    </fill>
    <fill>
      <patternFill patternType="solid">
        <fgColor rgb="FFBF8F00"/>
        <bgColor rgb="FFFF6600"/>
      </patternFill>
    </fill>
    <fill>
      <patternFill patternType="solid">
        <fgColor rgb="FFC00000"/>
        <bgColor rgb="FF800000"/>
      </patternFill>
    </fill>
    <fill>
      <patternFill patternType="solid">
        <fgColor rgb="FFD9E1F2"/>
        <bgColor rgb="FFCCFFFF"/>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bottom" textRotation="0" wrapText="tru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0"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14" fillId="7" borderId="1" xfId="0" applyFont="true" applyBorder="true" applyAlignment="fals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5" fillId="7" borderId="1" xfId="0" applyFont="true" applyBorder="true" applyAlignment="true" applyProtection="false">
      <alignment horizontal="general" vertical="center"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4" fillId="8" borderId="1" xfId="0" applyFont="true" applyBorder="true" applyAlignment="false" applyProtection="false">
      <alignment horizontal="general" vertical="bottom"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5" fillId="8" borderId="1" xfId="0" applyFont="true" applyBorder="true" applyAlignment="true" applyProtection="false">
      <alignment horizontal="general" vertical="center" textRotation="0" wrapText="true" indent="0" shrinkToFit="false"/>
      <protection locked="true" hidden="false"/>
    </xf>
    <xf numFmtId="164" fontId="14" fillId="8" borderId="1" xfId="0" applyFont="true" applyBorder="true" applyAlignment="true" applyProtection="false">
      <alignment horizontal="general" vertical="top" textRotation="0" wrapText="true" indent="0" shrinkToFit="false"/>
      <protection locked="true" hidden="false"/>
    </xf>
    <xf numFmtId="164" fontId="17" fillId="8"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595959"/>
      <rgbColor rgb="FF969696"/>
      <rgbColor rgb="FF1F3864"/>
      <rgbColor rgb="FF339966"/>
      <rgbColor rgb="FF003300"/>
      <rgbColor rgb="FF404040"/>
      <rgbColor rgb="FF993300"/>
      <rgbColor rgb="FF993366"/>
      <rgbColor rgb="FF333399"/>
      <rgbColor rgb="FF3030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12"/>
    <col collapsed="false" customWidth="true" hidden="false" outlineLevel="0" max="4" min="4" style="0" width="16"/>
    <col collapsed="false" customWidth="true" hidden="false" outlineLevel="0" max="5" min="5" style="0" width="60"/>
    <col collapsed="false" customWidth="true" hidden="false" outlineLevel="0" max="6" min="6" style="0" width="16"/>
  </cols>
  <sheetData>
    <row r="1" customFormat="false" ht="18.55"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t="s">
        <v>3</v>
      </c>
      <c r="B5" s="4"/>
      <c r="C5" s="4"/>
      <c r="D5" s="4"/>
      <c r="E5" s="4"/>
      <c r="F5" s="4"/>
    </row>
    <row r="6" customFormat="false" ht="30" hidden="false" customHeight="true" outlineLevel="0" collapsed="false">
      <c r="A6" s="5" t="s">
        <v>4</v>
      </c>
      <c r="B6" s="5"/>
      <c r="C6" s="5"/>
      <c r="D6" s="5"/>
      <c r="E6" s="5"/>
      <c r="F6" s="5"/>
    </row>
    <row r="7" customFormat="false" ht="15" hidden="false" customHeight="false" outlineLevel="0" collapsed="false">
      <c r="A7" s="4" t="s">
        <v>5</v>
      </c>
      <c r="B7" s="4"/>
      <c r="C7" s="4"/>
      <c r="D7" s="4"/>
      <c r="E7" s="4"/>
      <c r="F7" s="4"/>
    </row>
    <row r="8" customFormat="false" ht="30" hidden="false" customHeight="true" outlineLevel="0" collapsed="false">
      <c r="A8" s="5" t="s">
        <v>6</v>
      </c>
      <c r="B8" s="5"/>
      <c r="C8" s="5"/>
      <c r="D8" s="5"/>
      <c r="E8" s="5"/>
      <c r="F8" s="5"/>
    </row>
    <row r="9" customFormat="false" ht="15" hidden="false" customHeight="false" outlineLevel="0" collapsed="false">
      <c r="A9" s="4" t="s">
        <v>7</v>
      </c>
      <c r="B9" s="4"/>
      <c r="C9" s="4"/>
      <c r="D9" s="4"/>
      <c r="E9" s="4"/>
      <c r="F9" s="4"/>
    </row>
    <row r="10" customFormat="false" ht="30" hidden="false" customHeight="true" outlineLevel="0" collapsed="false">
      <c r="A10" s="5" t="s">
        <v>8</v>
      </c>
      <c r="B10" s="5"/>
      <c r="C10" s="5"/>
      <c r="D10" s="5"/>
      <c r="E10" s="5"/>
      <c r="F10" s="5"/>
    </row>
    <row r="11" customFormat="false" ht="15" hidden="false" customHeight="false" outlineLevel="0" collapsed="false">
      <c r="A11" s="4" t="s">
        <v>9</v>
      </c>
      <c r="B11" s="4"/>
      <c r="C11" s="4"/>
      <c r="D11" s="4"/>
      <c r="E11" s="4"/>
      <c r="F11" s="4"/>
    </row>
    <row r="12" customFormat="false" ht="30" hidden="false" customHeight="true" outlineLevel="0" collapsed="false">
      <c r="A12" s="5" t="s">
        <v>10</v>
      </c>
      <c r="B12" s="5"/>
      <c r="C12" s="5"/>
      <c r="D12" s="5"/>
      <c r="E12" s="5"/>
      <c r="F12" s="5"/>
    </row>
    <row r="14" customFormat="false" ht="15" hidden="false" customHeight="false" outlineLevel="0" collapsed="false">
      <c r="A14" s="3" t="s">
        <v>11</v>
      </c>
    </row>
    <row r="15" customFormat="false" ht="15" hidden="false" customHeight="false" outlineLevel="0" collapsed="false">
      <c r="A15" s="6" t="s">
        <v>12</v>
      </c>
      <c r="B15" s="6" t="s">
        <v>13</v>
      </c>
      <c r="C15" s="6" t="s">
        <v>14</v>
      </c>
      <c r="D15" s="6" t="s">
        <v>15</v>
      </c>
      <c r="E15" s="6" t="s">
        <v>16</v>
      </c>
    </row>
    <row r="16" customFormat="false" ht="57.75" hidden="false" customHeight="true" outlineLevel="0" collapsed="false">
      <c r="A16" s="7" t="s">
        <v>17</v>
      </c>
      <c r="B16" s="8" t="s">
        <v>18</v>
      </c>
      <c r="C16" s="8" t="s">
        <v>19</v>
      </c>
      <c r="D16" s="8" t="s">
        <v>20</v>
      </c>
      <c r="E16" s="8" t="s">
        <v>21</v>
      </c>
    </row>
    <row r="17" customFormat="false" ht="57.75" hidden="false" customHeight="true" outlineLevel="0" collapsed="false">
      <c r="A17" s="9" t="s">
        <v>22</v>
      </c>
      <c r="B17" s="8" t="s">
        <v>23</v>
      </c>
      <c r="C17" s="8" t="s">
        <v>24</v>
      </c>
      <c r="D17" s="8" t="s">
        <v>20</v>
      </c>
      <c r="E17" s="8" t="s">
        <v>25</v>
      </c>
    </row>
    <row r="18" customFormat="false" ht="57.75" hidden="false" customHeight="true" outlineLevel="0" collapsed="false">
      <c r="A18" s="10" t="s">
        <v>26</v>
      </c>
      <c r="B18" s="8" t="s">
        <v>27</v>
      </c>
      <c r="C18" s="8" t="s">
        <v>28</v>
      </c>
      <c r="D18" s="8" t="s">
        <v>29</v>
      </c>
      <c r="E18" s="8" t="s">
        <v>30</v>
      </c>
    </row>
    <row r="19" customFormat="false" ht="57.75" hidden="false" customHeight="true" outlineLevel="0" collapsed="false">
      <c r="A19" s="11" t="s">
        <v>31</v>
      </c>
      <c r="B19" s="8" t="s">
        <v>32</v>
      </c>
      <c r="C19" s="8" t="s">
        <v>33</v>
      </c>
      <c r="D19" s="8" t="s">
        <v>34</v>
      </c>
      <c r="E19" s="8" t="s">
        <v>35</v>
      </c>
    </row>
    <row r="21" customFormat="false" ht="15" hidden="false" customHeight="false" outlineLevel="0" collapsed="false">
      <c r="A21" s="3" t="s">
        <v>36</v>
      </c>
    </row>
    <row r="22" customFormat="false" ht="15" hidden="false" customHeight="false" outlineLevel="0" collapsed="false">
      <c r="A22" s="6" t="s">
        <v>37</v>
      </c>
      <c r="B22" s="6" t="s">
        <v>38</v>
      </c>
      <c r="C22" s="6" t="s">
        <v>39</v>
      </c>
    </row>
    <row r="23" customFormat="false" ht="25.5" hidden="false" customHeight="true" outlineLevel="0" collapsed="false">
      <c r="A23" s="12" t="s">
        <v>40</v>
      </c>
      <c r="B23" s="8" t="s">
        <v>41</v>
      </c>
      <c r="C23" s="8" t="s">
        <v>42</v>
      </c>
    </row>
    <row r="24" customFormat="false" ht="25.5" hidden="false" customHeight="true" outlineLevel="0" collapsed="false">
      <c r="A24" s="12" t="s">
        <v>43</v>
      </c>
      <c r="B24" s="8" t="s">
        <v>44</v>
      </c>
      <c r="C24" s="8" t="s">
        <v>45</v>
      </c>
    </row>
    <row r="25" customFormat="false" ht="25.5" hidden="false" customHeight="true" outlineLevel="0" collapsed="false">
      <c r="A25" s="12" t="s">
        <v>46</v>
      </c>
      <c r="B25" s="8" t="s">
        <v>47</v>
      </c>
      <c r="C25" s="8" t="s">
        <v>48</v>
      </c>
    </row>
    <row r="26" customFormat="false" ht="25.5" hidden="false" customHeight="true" outlineLevel="0" collapsed="false">
      <c r="A26" s="12" t="s">
        <v>49</v>
      </c>
      <c r="B26" s="8" t="s">
        <v>50</v>
      </c>
      <c r="C26" s="8" t="s">
        <v>51</v>
      </c>
    </row>
    <row r="27" customFormat="false" ht="25.5" hidden="false" customHeight="true" outlineLevel="0" collapsed="false">
      <c r="A27" s="12" t="s">
        <v>52</v>
      </c>
      <c r="B27" s="8" t="s">
        <v>53</v>
      </c>
      <c r="C27" s="8" t="s">
        <v>54</v>
      </c>
    </row>
    <row r="28" customFormat="false" ht="25.5" hidden="false" customHeight="true" outlineLevel="0" collapsed="false">
      <c r="A28" s="12" t="s">
        <v>55</v>
      </c>
      <c r="B28" s="8" t="s">
        <v>56</v>
      </c>
      <c r="C28" s="8" t="s">
        <v>57</v>
      </c>
    </row>
    <row r="29" customFormat="false" ht="25.5" hidden="false" customHeight="true" outlineLevel="0" collapsed="false">
      <c r="A29" s="12" t="s">
        <v>58</v>
      </c>
      <c r="B29" s="8" t="s">
        <v>59</v>
      </c>
      <c r="C29" s="8" t="s">
        <v>60</v>
      </c>
    </row>
    <row r="30" customFormat="false" ht="25.5" hidden="false" customHeight="true" outlineLevel="0" collapsed="false">
      <c r="A30" s="12" t="s">
        <v>61</v>
      </c>
      <c r="B30" s="8" t="s">
        <v>62</v>
      </c>
      <c r="C30" s="8" t="s">
        <v>63</v>
      </c>
    </row>
    <row r="31" customFormat="false" ht="25.5" hidden="false" customHeight="true" outlineLevel="0" collapsed="false">
      <c r="A31" s="12" t="s">
        <v>64</v>
      </c>
      <c r="B31" s="8" t="s">
        <v>65</v>
      </c>
      <c r="C31" s="8" t="s">
        <v>66</v>
      </c>
    </row>
    <row r="32" customFormat="false" ht="25.5" hidden="false" customHeight="true" outlineLevel="0" collapsed="false">
      <c r="A32" s="12" t="s">
        <v>67</v>
      </c>
      <c r="B32" s="8" t="s">
        <v>68</v>
      </c>
      <c r="C32" s="8" t="s">
        <v>69</v>
      </c>
    </row>
    <row r="35" customFormat="false" ht="15" hidden="false" customHeight="false" outlineLevel="0" collapsed="false">
      <c r="A35" s="13" t="s">
        <v>70</v>
      </c>
    </row>
    <row r="36" customFormat="false" ht="22.35" hidden="false" customHeight="false" outlineLevel="0" collapsed="false">
      <c r="A36" s="14" t="s">
        <v>17</v>
      </c>
      <c r="B36" s="14" t="s">
        <v>22</v>
      </c>
      <c r="C36" s="14" t="s">
        <v>26</v>
      </c>
      <c r="D36" s="14" t="s">
        <v>31</v>
      </c>
      <c r="E36" s="14" t="s">
        <v>71</v>
      </c>
    </row>
    <row r="37" customFormat="false" ht="15" hidden="false" customHeight="false" outlineLevel="0" collapsed="false">
      <c r="A37" s="15" t="n">
        <f aca="false">SUMIF('Plan hebdo'!C2:C63,"0 — Fondation",'Plan hebdo'!M2:M63)</f>
        <v>113.5</v>
      </c>
      <c r="B37" s="15" t="n">
        <f aca="false">SUMIF('Plan hebdo'!C2:C63,"1 — Construction",'Plan hebdo'!M2:M63)</f>
        <v>121.5</v>
      </c>
      <c r="C37" s="15" t="n">
        <f aca="false">SUMIF('Plan hebdo'!C2:C63,"2 — Spécifique",'Plan hebdo'!M2:M63)</f>
        <v>169.5</v>
      </c>
      <c r="D37" s="15" t="n">
        <f aca="false">SUMIF('Plan hebdo'!C2:C63,"3 — Pic &amp; Affûtage",'Plan hebdo'!M2:M63)</f>
        <v>91.5</v>
      </c>
      <c r="E37" s="15" t="n">
        <f aca="false">SUM(A37:D37)</f>
        <v>496</v>
      </c>
    </row>
  </sheetData>
  <mergeCells count="10">
    <mergeCell ref="A1:F1"/>
    <mergeCell ref="A2:F2"/>
    <mergeCell ref="A5:F5"/>
    <mergeCell ref="A6:F6"/>
    <mergeCell ref="A7:F7"/>
    <mergeCell ref="A8:F8"/>
    <mergeCell ref="A9:F9"/>
    <mergeCell ref="A10:F10"/>
    <mergeCell ref="A11:F1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5"/>
    <col collapsed="false" customWidth="true" hidden="false" outlineLevel="0" max="4" min="4" style="0" width="10"/>
    <col collapsed="false" customWidth="true" hidden="false" outlineLevel="0" max="5" min="5" style="0" width="30"/>
    <col collapsed="false" customWidth="true" hidden="false" outlineLevel="0" max="9" min="6" style="0" width="21"/>
    <col collapsed="false" customWidth="true" hidden="false" outlineLevel="0" max="10" min="10" style="0" width="18"/>
    <col collapsed="false" customWidth="true" hidden="false" outlineLevel="0" max="11" min="11" style="0" width="27"/>
    <col collapsed="false" customWidth="true" hidden="false" outlineLevel="0" max="12" min="12" style="0" width="21"/>
    <col collapsed="false" customWidth="true" hidden="false" outlineLevel="0" max="13" min="13" style="0" width="9"/>
    <col collapsed="false" customWidth="true" hidden="false" outlineLevel="0" max="15" min="14" style="0" width="10"/>
    <col collapsed="false" customWidth="true" hidden="false" outlineLevel="0" max="16" min="16" style="0" width="24"/>
  </cols>
  <sheetData>
    <row r="1" customFormat="false" ht="30" hidden="false" customHeight="true" outlineLevel="0" collapsed="false">
      <c r="A1" s="6" t="s">
        <v>14</v>
      </c>
      <c r="B1" s="6" t="s">
        <v>72</v>
      </c>
      <c r="C1" s="6" t="s">
        <v>12</v>
      </c>
      <c r="D1" s="6" t="s">
        <v>73</v>
      </c>
      <c r="E1" s="6" t="s">
        <v>74</v>
      </c>
      <c r="F1" s="6" t="s">
        <v>75</v>
      </c>
      <c r="G1" s="6" t="s">
        <v>76</v>
      </c>
      <c r="H1" s="6" t="s">
        <v>77</v>
      </c>
      <c r="I1" s="6" t="s">
        <v>78</v>
      </c>
      <c r="J1" s="6" t="s">
        <v>79</v>
      </c>
      <c r="K1" s="6" t="s">
        <v>80</v>
      </c>
      <c r="L1" s="6" t="s">
        <v>81</v>
      </c>
      <c r="M1" s="6" t="s">
        <v>82</v>
      </c>
      <c r="N1" s="6" t="s">
        <v>83</v>
      </c>
      <c r="O1" s="6" t="s">
        <v>84</v>
      </c>
      <c r="P1" s="6" t="s">
        <v>85</v>
      </c>
    </row>
    <row r="2" customFormat="false" ht="45.75" hidden="false" customHeight="true" outlineLevel="0" collapsed="false">
      <c r="A2" s="16" t="n">
        <v>1</v>
      </c>
      <c r="B2" s="17" t="s">
        <v>86</v>
      </c>
      <c r="C2" s="18" t="s">
        <v>17</v>
      </c>
      <c r="D2" s="19" t="s">
        <v>87</v>
      </c>
      <c r="E2" s="20" t="s">
        <v>88</v>
      </c>
      <c r="F2" s="21" t="s">
        <v>89</v>
      </c>
      <c r="G2" s="21" t="s">
        <v>90</v>
      </c>
      <c r="H2" s="21" t="s">
        <v>91</v>
      </c>
      <c r="I2" s="21" t="s">
        <v>92</v>
      </c>
      <c r="J2" s="21" t="s">
        <v>89</v>
      </c>
      <c r="K2" s="21" t="s">
        <v>93</v>
      </c>
      <c r="L2" s="21" t="s">
        <v>94</v>
      </c>
      <c r="M2" s="22" t="n">
        <v>6.5</v>
      </c>
      <c r="N2" s="23"/>
      <c r="O2" s="23"/>
      <c r="P2" s="23"/>
    </row>
    <row r="3" customFormat="false" ht="45.75" hidden="false" customHeight="true" outlineLevel="0" collapsed="false">
      <c r="A3" s="16" t="n">
        <v>2</v>
      </c>
      <c r="B3" s="17" t="s">
        <v>95</v>
      </c>
      <c r="C3" s="18" t="s">
        <v>17</v>
      </c>
      <c r="D3" s="19" t="s">
        <v>87</v>
      </c>
      <c r="E3" s="20" t="s">
        <v>88</v>
      </c>
      <c r="F3" s="21" t="s">
        <v>89</v>
      </c>
      <c r="G3" s="21" t="s">
        <v>90</v>
      </c>
      <c r="H3" s="21" t="s">
        <v>91</v>
      </c>
      <c r="I3" s="21" t="s">
        <v>92</v>
      </c>
      <c r="J3" s="21" t="s">
        <v>89</v>
      </c>
      <c r="K3" s="21" t="s">
        <v>96</v>
      </c>
      <c r="L3" s="21" t="s">
        <v>94</v>
      </c>
      <c r="M3" s="22" t="n">
        <v>7</v>
      </c>
      <c r="N3" s="23"/>
      <c r="O3" s="23"/>
      <c r="P3" s="23"/>
    </row>
    <row r="4" customFormat="false" ht="45.75" hidden="false" customHeight="true" outlineLevel="0" collapsed="false">
      <c r="A4" s="16" t="n">
        <v>3</v>
      </c>
      <c r="B4" s="17" t="s">
        <v>97</v>
      </c>
      <c r="C4" s="18" t="s">
        <v>17</v>
      </c>
      <c r="D4" s="19" t="s">
        <v>87</v>
      </c>
      <c r="E4" s="20" t="s">
        <v>88</v>
      </c>
      <c r="F4" s="21" t="s">
        <v>89</v>
      </c>
      <c r="G4" s="21" t="s">
        <v>90</v>
      </c>
      <c r="H4" s="21" t="s">
        <v>91</v>
      </c>
      <c r="I4" s="21" t="s">
        <v>92</v>
      </c>
      <c r="J4" s="21" t="s">
        <v>89</v>
      </c>
      <c r="K4" s="21" t="s">
        <v>98</v>
      </c>
      <c r="L4" s="21" t="s">
        <v>99</v>
      </c>
      <c r="M4" s="22" t="n">
        <v>7.5</v>
      </c>
      <c r="N4" s="23"/>
      <c r="O4" s="23"/>
      <c r="P4" s="23"/>
    </row>
    <row r="5" customFormat="false" ht="45.75" hidden="false" customHeight="true" outlineLevel="0" collapsed="false">
      <c r="A5" s="24" t="n">
        <v>4</v>
      </c>
      <c r="B5" s="25" t="s">
        <v>100</v>
      </c>
      <c r="C5" s="18" t="s">
        <v>17</v>
      </c>
      <c r="D5" s="26" t="s">
        <v>101</v>
      </c>
      <c r="E5" s="27" t="s">
        <v>102</v>
      </c>
      <c r="F5" s="28" t="s">
        <v>89</v>
      </c>
      <c r="G5" s="28" t="s">
        <v>103</v>
      </c>
      <c r="H5" s="28" t="s">
        <v>104</v>
      </c>
      <c r="I5" s="28" t="s">
        <v>105</v>
      </c>
      <c r="J5" s="28" t="s">
        <v>89</v>
      </c>
      <c r="K5" s="28" t="s">
        <v>106</v>
      </c>
      <c r="L5" s="28" t="s">
        <v>107</v>
      </c>
      <c r="M5" s="29" t="n">
        <v>5</v>
      </c>
      <c r="N5" s="30"/>
      <c r="O5" s="30"/>
      <c r="P5" s="30"/>
    </row>
    <row r="6" customFormat="false" ht="45.75" hidden="false" customHeight="true" outlineLevel="0" collapsed="false">
      <c r="A6" s="16" t="n">
        <v>5</v>
      </c>
      <c r="B6" s="17" t="s">
        <v>108</v>
      </c>
      <c r="C6" s="18" t="s">
        <v>17</v>
      </c>
      <c r="D6" s="19" t="s">
        <v>87</v>
      </c>
      <c r="E6" s="20" t="s">
        <v>109</v>
      </c>
      <c r="F6" s="21" t="s">
        <v>89</v>
      </c>
      <c r="G6" s="21" t="s">
        <v>90</v>
      </c>
      <c r="H6" s="21" t="s">
        <v>91</v>
      </c>
      <c r="I6" s="21" t="s">
        <v>92</v>
      </c>
      <c r="J6" s="21" t="s">
        <v>89</v>
      </c>
      <c r="K6" s="21" t="s">
        <v>98</v>
      </c>
      <c r="L6" s="21" t="s">
        <v>99</v>
      </c>
      <c r="M6" s="22" t="n">
        <v>7</v>
      </c>
      <c r="N6" s="23"/>
      <c r="O6" s="23"/>
      <c r="P6" s="23"/>
    </row>
    <row r="7" customFormat="false" ht="45.75" hidden="false" customHeight="true" outlineLevel="0" collapsed="false">
      <c r="A7" s="16" t="n">
        <v>6</v>
      </c>
      <c r="B7" s="17" t="s">
        <v>110</v>
      </c>
      <c r="C7" s="18" t="s">
        <v>17</v>
      </c>
      <c r="D7" s="19" t="s">
        <v>87</v>
      </c>
      <c r="E7" s="20" t="s">
        <v>109</v>
      </c>
      <c r="F7" s="21" t="s">
        <v>89</v>
      </c>
      <c r="G7" s="21" t="s">
        <v>90</v>
      </c>
      <c r="H7" s="21" t="s">
        <v>91</v>
      </c>
      <c r="I7" s="21" t="s">
        <v>92</v>
      </c>
      <c r="J7" s="21" t="s">
        <v>89</v>
      </c>
      <c r="K7" s="21" t="s">
        <v>111</v>
      </c>
      <c r="L7" s="21" t="s">
        <v>99</v>
      </c>
      <c r="M7" s="22" t="n">
        <v>7.5</v>
      </c>
      <c r="N7" s="23"/>
      <c r="O7" s="23"/>
      <c r="P7" s="23"/>
    </row>
    <row r="8" customFormat="false" ht="45.75" hidden="false" customHeight="true" outlineLevel="0" collapsed="false">
      <c r="A8" s="16" t="n">
        <v>7</v>
      </c>
      <c r="B8" s="17" t="s">
        <v>112</v>
      </c>
      <c r="C8" s="18" t="s">
        <v>17</v>
      </c>
      <c r="D8" s="19" t="s">
        <v>87</v>
      </c>
      <c r="E8" s="20" t="s">
        <v>109</v>
      </c>
      <c r="F8" s="21" t="s">
        <v>89</v>
      </c>
      <c r="G8" s="21" t="s">
        <v>90</v>
      </c>
      <c r="H8" s="21" t="s">
        <v>91</v>
      </c>
      <c r="I8" s="21" t="s">
        <v>92</v>
      </c>
      <c r="J8" s="21" t="s">
        <v>89</v>
      </c>
      <c r="K8" s="21" t="s">
        <v>113</v>
      </c>
      <c r="L8" s="21" t="s">
        <v>114</v>
      </c>
      <c r="M8" s="22" t="n">
        <v>8</v>
      </c>
      <c r="N8" s="23"/>
      <c r="O8" s="23"/>
      <c r="P8" s="23"/>
    </row>
    <row r="9" customFormat="false" ht="45.75" hidden="false" customHeight="true" outlineLevel="0" collapsed="false">
      <c r="A9" s="24" t="n">
        <v>8</v>
      </c>
      <c r="B9" s="25" t="s">
        <v>115</v>
      </c>
      <c r="C9" s="18" t="s">
        <v>17</v>
      </c>
      <c r="D9" s="26" t="s">
        <v>101</v>
      </c>
      <c r="E9" s="27" t="s">
        <v>109</v>
      </c>
      <c r="F9" s="28" t="s">
        <v>89</v>
      </c>
      <c r="G9" s="28" t="s">
        <v>103</v>
      </c>
      <c r="H9" s="28" t="s">
        <v>104</v>
      </c>
      <c r="I9" s="28" t="s">
        <v>105</v>
      </c>
      <c r="J9" s="28" t="s">
        <v>89</v>
      </c>
      <c r="K9" s="28" t="s">
        <v>93</v>
      </c>
      <c r="L9" s="28" t="s">
        <v>94</v>
      </c>
      <c r="M9" s="29" t="n">
        <v>5.5</v>
      </c>
      <c r="N9" s="30"/>
      <c r="O9" s="30"/>
      <c r="P9" s="30"/>
    </row>
    <row r="10" customFormat="false" ht="45.75" hidden="false" customHeight="true" outlineLevel="0" collapsed="false">
      <c r="A10" s="16" t="n">
        <v>9</v>
      </c>
      <c r="B10" s="17" t="s">
        <v>116</v>
      </c>
      <c r="C10" s="18" t="s">
        <v>17</v>
      </c>
      <c r="D10" s="19" t="s">
        <v>87</v>
      </c>
      <c r="E10" s="20" t="s">
        <v>117</v>
      </c>
      <c r="F10" s="21" t="s">
        <v>89</v>
      </c>
      <c r="G10" s="21" t="s">
        <v>90</v>
      </c>
      <c r="H10" s="21" t="s">
        <v>91</v>
      </c>
      <c r="I10" s="21" t="s">
        <v>92</v>
      </c>
      <c r="J10" s="21" t="s">
        <v>89</v>
      </c>
      <c r="K10" s="21" t="s">
        <v>118</v>
      </c>
      <c r="L10" s="21" t="s">
        <v>99</v>
      </c>
      <c r="M10" s="22" t="n">
        <v>7.5</v>
      </c>
      <c r="N10" s="23"/>
      <c r="O10" s="23"/>
      <c r="P10" s="23"/>
    </row>
    <row r="11" customFormat="false" ht="45.75" hidden="false" customHeight="true" outlineLevel="0" collapsed="false">
      <c r="A11" s="16" t="n">
        <v>10</v>
      </c>
      <c r="B11" s="17" t="s">
        <v>119</v>
      </c>
      <c r="C11" s="18" t="s">
        <v>17</v>
      </c>
      <c r="D11" s="19" t="s">
        <v>87</v>
      </c>
      <c r="E11" s="20" t="s">
        <v>117</v>
      </c>
      <c r="F11" s="21" t="s">
        <v>89</v>
      </c>
      <c r="G11" s="21" t="s">
        <v>90</v>
      </c>
      <c r="H11" s="21" t="s">
        <v>91</v>
      </c>
      <c r="I11" s="21" t="s">
        <v>92</v>
      </c>
      <c r="J11" s="21" t="s">
        <v>89</v>
      </c>
      <c r="K11" s="21" t="s">
        <v>120</v>
      </c>
      <c r="L11" s="21" t="s">
        <v>114</v>
      </c>
      <c r="M11" s="22" t="n">
        <v>8</v>
      </c>
      <c r="N11" s="23"/>
      <c r="O11" s="23"/>
      <c r="P11" s="23"/>
    </row>
    <row r="12" customFormat="false" ht="45.75" hidden="false" customHeight="true" outlineLevel="0" collapsed="false">
      <c r="A12" s="16" t="n">
        <v>11</v>
      </c>
      <c r="B12" s="17" t="s">
        <v>121</v>
      </c>
      <c r="C12" s="18" t="s">
        <v>17</v>
      </c>
      <c r="D12" s="19" t="s">
        <v>87</v>
      </c>
      <c r="E12" s="20" t="s">
        <v>117</v>
      </c>
      <c r="F12" s="21" t="s">
        <v>89</v>
      </c>
      <c r="G12" s="21" t="s">
        <v>90</v>
      </c>
      <c r="H12" s="21" t="s">
        <v>91</v>
      </c>
      <c r="I12" s="21" t="s">
        <v>92</v>
      </c>
      <c r="J12" s="21" t="s">
        <v>89</v>
      </c>
      <c r="K12" s="21" t="s">
        <v>122</v>
      </c>
      <c r="L12" s="21" t="s">
        <v>114</v>
      </c>
      <c r="M12" s="22" t="n">
        <v>8</v>
      </c>
      <c r="N12" s="23"/>
      <c r="O12" s="23"/>
      <c r="P12" s="23"/>
    </row>
    <row r="13" customFormat="false" ht="45.75" hidden="false" customHeight="true" outlineLevel="0" collapsed="false">
      <c r="A13" s="24" t="n">
        <v>12</v>
      </c>
      <c r="B13" s="25" t="s">
        <v>123</v>
      </c>
      <c r="C13" s="18" t="s">
        <v>17</v>
      </c>
      <c r="D13" s="26" t="s">
        <v>101</v>
      </c>
      <c r="E13" s="27" t="s">
        <v>117</v>
      </c>
      <c r="F13" s="28" t="s">
        <v>89</v>
      </c>
      <c r="G13" s="28" t="s">
        <v>103</v>
      </c>
      <c r="H13" s="28" t="s">
        <v>104</v>
      </c>
      <c r="I13" s="28" t="s">
        <v>105</v>
      </c>
      <c r="J13" s="28" t="s">
        <v>89</v>
      </c>
      <c r="K13" s="28" t="s">
        <v>93</v>
      </c>
      <c r="L13" s="28" t="s">
        <v>94</v>
      </c>
      <c r="M13" s="29" t="n">
        <v>5.5</v>
      </c>
      <c r="N13" s="30"/>
      <c r="O13" s="30"/>
      <c r="P13" s="30"/>
    </row>
    <row r="14" customFormat="false" ht="45.75" hidden="false" customHeight="true" outlineLevel="0" collapsed="false">
      <c r="A14" s="16" t="n">
        <v>13</v>
      </c>
      <c r="B14" s="17" t="s">
        <v>124</v>
      </c>
      <c r="C14" s="18" t="s">
        <v>17</v>
      </c>
      <c r="D14" s="19" t="s">
        <v>87</v>
      </c>
      <c r="E14" s="20" t="s">
        <v>117</v>
      </c>
      <c r="F14" s="21" t="s">
        <v>89</v>
      </c>
      <c r="G14" s="21" t="s">
        <v>90</v>
      </c>
      <c r="H14" s="21" t="s">
        <v>91</v>
      </c>
      <c r="I14" s="21" t="s">
        <v>92</v>
      </c>
      <c r="J14" s="21" t="s">
        <v>89</v>
      </c>
      <c r="K14" s="21" t="s">
        <v>122</v>
      </c>
      <c r="L14" s="21" t="s">
        <v>114</v>
      </c>
      <c r="M14" s="22" t="n">
        <v>8</v>
      </c>
      <c r="N14" s="23"/>
      <c r="O14" s="23"/>
      <c r="P14" s="23"/>
    </row>
    <row r="15" customFormat="false" ht="45.75" hidden="false" customHeight="true" outlineLevel="0" collapsed="false">
      <c r="A15" s="16" t="n">
        <v>14</v>
      </c>
      <c r="B15" s="17" t="s">
        <v>125</v>
      </c>
      <c r="C15" s="18" t="s">
        <v>17</v>
      </c>
      <c r="D15" s="19" t="s">
        <v>87</v>
      </c>
      <c r="E15" s="20" t="s">
        <v>117</v>
      </c>
      <c r="F15" s="21" t="s">
        <v>89</v>
      </c>
      <c r="G15" s="21" t="s">
        <v>90</v>
      </c>
      <c r="H15" s="21" t="s">
        <v>91</v>
      </c>
      <c r="I15" s="21" t="s">
        <v>92</v>
      </c>
      <c r="J15" s="21" t="s">
        <v>89</v>
      </c>
      <c r="K15" s="21" t="s">
        <v>122</v>
      </c>
      <c r="L15" s="21" t="s">
        <v>114</v>
      </c>
      <c r="M15" s="22" t="n">
        <v>8</v>
      </c>
      <c r="N15" s="23"/>
      <c r="O15" s="23"/>
      <c r="P15" s="23"/>
    </row>
    <row r="16" customFormat="false" ht="45.75" hidden="false" customHeight="true" outlineLevel="0" collapsed="false">
      <c r="A16" s="16" t="n">
        <v>15</v>
      </c>
      <c r="B16" s="17" t="s">
        <v>126</v>
      </c>
      <c r="C16" s="18" t="s">
        <v>17</v>
      </c>
      <c r="D16" s="19" t="s">
        <v>87</v>
      </c>
      <c r="E16" s="20" t="s">
        <v>117</v>
      </c>
      <c r="F16" s="21" t="s">
        <v>89</v>
      </c>
      <c r="G16" s="21" t="s">
        <v>90</v>
      </c>
      <c r="H16" s="21" t="s">
        <v>91</v>
      </c>
      <c r="I16" s="21" t="s">
        <v>92</v>
      </c>
      <c r="J16" s="21" t="s">
        <v>89</v>
      </c>
      <c r="K16" s="21" t="s">
        <v>127</v>
      </c>
      <c r="L16" s="21" t="s">
        <v>114</v>
      </c>
      <c r="M16" s="22" t="n">
        <v>8.5</v>
      </c>
      <c r="N16" s="23"/>
      <c r="O16" s="23"/>
      <c r="P16" s="23"/>
    </row>
    <row r="17" customFormat="false" ht="45.75" hidden="false" customHeight="true" outlineLevel="0" collapsed="false">
      <c r="A17" s="24" t="n">
        <v>16</v>
      </c>
      <c r="B17" s="25" t="s">
        <v>128</v>
      </c>
      <c r="C17" s="18" t="s">
        <v>17</v>
      </c>
      <c r="D17" s="26" t="s">
        <v>101</v>
      </c>
      <c r="E17" s="27" t="s">
        <v>117</v>
      </c>
      <c r="F17" s="28" t="s">
        <v>89</v>
      </c>
      <c r="G17" s="28" t="s">
        <v>103</v>
      </c>
      <c r="H17" s="28" t="s">
        <v>104</v>
      </c>
      <c r="I17" s="28" t="s">
        <v>105</v>
      </c>
      <c r="J17" s="28" t="s">
        <v>89</v>
      </c>
      <c r="K17" s="28" t="s">
        <v>129</v>
      </c>
      <c r="L17" s="28" t="s">
        <v>94</v>
      </c>
      <c r="M17" s="29" t="n">
        <v>6</v>
      </c>
      <c r="N17" s="30"/>
      <c r="O17" s="30"/>
      <c r="P17" s="30"/>
    </row>
    <row r="18" customFormat="false" ht="45.75" hidden="false" customHeight="true" outlineLevel="0" collapsed="false">
      <c r="A18" s="16" t="n">
        <v>17</v>
      </c>
      <c r="B18" s="17" t="s">
        <v>130</v>
      </c>
      <c r="C18" s="31" t="s">
        <v>22</v>
      </c>
      <c r="D18" s="19" t="s">
        <v>87</v>
      </c>
      <c r="E18" s="20" t="s">
        <v>131</v>
      </c>
      <c r="F18" s="21" t="s">
        <v>89</v>
      </c>
      <c r="G18" s="21" t="s">
        <v>132</v>
      </c>
      <c r="H18" s="21" t="s">
        <v>133</v>
      </c>
      <c r="I18" s="21" t="s">
        <v>134</v>
      </c>
      <c r="J18" s="21" t="s">
        <v>89</v>
      </c>
      <c r="K18" s="21" t="s">
        <v>135</v>
      </c>
      <c r="L18" s="21" t="s">
        <v>136</v>
      </c>
      <c r="M18" s="22" t="n">
        <v>7</v>
      </c>
      <c r="N18" s="23"/>
      <c r="O18" s="23"/>
      <c r="P18" s="23"/>
    </row>
    <row r="19" customFormat="false" ht="45.75" hidden="false" customHeight="true" outlineLevel="0" collapsed="false">
      <c r="A19" s="16" t="n">
        <v>18</v>
      </c>
      <c r="B19" s="17" t="s">
        <v>137</v>
      </c>
      <c r="C19" s="31" t="s">
        <v>22</v>
      </c>
      <c r="D19" s="19" t="s">
        <v>87</v>
      </c>
      <c r="E19" s="20" t="s">
        <v>131</v>
      </c>
      <c r="F19" s="21" t="s">
        <v>89</v>
      </c>
      <c r="G19" s="21" t="s">
        <v>138</v>
      </c>
      <c r="H19" s="21" t="s">
        <v>133</v>
      </c>
      <c r="I19" s="21" t="s">
        <v>134</v>
      </c>
      <c r="J19" s="21" t="s">
        <v>89</v>
      </c>
      <c r="K19" s="21" t="s">
        <v>139</v>
      </c>
      <c r="L19" s="21" t="s">
        <v>136</v>
      </c>
      <c r="M19" s="22" t="n">
        <v>7.5</v>
      </c>
      <c r="N19" s="23"/>
      <c r="O19" s="23"/>
      <c r="P19" s="23"/>
    </row>
    <row r="20" customFormat="false" ht="45.75" hidden="false" customHeight="true" outlineLevel="0" collapsed="false">
      <c r="A20" s="16" t="n">
        <v>19</v>
      </c>
      <c r="B20" s="17" t="s">
        <v>140</v>
      </c>
      <c r="C20" s="31" t="s">
        <v>22</v>
      </c>
      <c r="D20" s="19" t="s">
        <v>87</v>
      </c>
      <c r="E20" s="20" t="s">
        <v>131</v>
      </c>
      <c r="F20" s="21" t="s">
        <v>89</v>
      </c>
      <c r="G20" s="21" t="s">
        <v>141</v>
      </c>
      <c r="H20" s="21" t="s">
        <v>133</v>
      </c>
      <c r="I20" s="21" t="s">
        <v>134</v>
      </c>
      <c r="J20" s="21" t="s">
        <v>89</v>
      </c>
      <c r="K20" s="21" t="s">
        <v>142</v>
      </c>
      <c r="L20" s="21" t="s">
        <v>136</v>
      </c>
      <c r="M20" s="22" t="n">
        <v>8</v>
      </c>
      <c r="N20" s="23"/>
      <c r="O20" s="23"/>
      <c r="P20" s="23"/>
    </row>
    <row r="21" customFormat="false" ht="45.75" hidden="false" customHeight="true" outlineLevel="0" collapsed="false">
      <c r="A21" s="24" t="n">
        <v>20</v>
      </c>
      <c r="B21" s="25" t="s">
        <v>143</v>
      </c>
      <c r="C21" s="31" t="s">
        <v>22</v>
      </c>
      <c r="D21" s="26" t="s">
        <v>101</v>
      </c>
      <c r="E21" s="27" t="s">
        <v>131</v>
      </c>
      <c r="F21" s="28" t="s">
        <v>89</v>
      </c>
      <c r="G21" s="28" t="s">
        <v>144</v>
      </c>
      <c r="H21" s="28" t="s">
        <v>145</v>
      </c>
      <c r="I21" s="28" t="s">
        <v>105</v>
      </c>
      <c r="J21" s="28" t="s">
        <v>89</v>
      </c>
      <c r="K21" s="28" t="s">
        <v>146</v>
      </c>
      <c r="L21" s="28" t="s">
        <v>147</v>
      </c>
      <c r="M21" s="29" t="n">
        <v>5.5</v>
      </c>
      <c r="N21" s="30"/>
      <c r="O21" s="30"/>
      <c r="P21" s="30"/>
    </row>
    <row r="22" customFormat="false" ht="45.75" hidden="false" customHeight="true" outlineLevel="0" collapsed="false">
      <c r="A22" s="16" t="n">
        <v>21</v>
      </c>
      <c r="B22" s="17" t="s">
        <v>148</v>
      </c>
      <c r="C22" s="31" t="s">
        <v>22</v>
      </c>
      <c r="D22" s="19" t="s">
        <v>87</v>
      </c>
      <c r="E22" s="20" t="s">
        <v>149</v>
      </c>
      <c r="F22" s="21" t="s">
        <v>89</v>
      </c>
      <c r="G22" s="21" t="s">
        <v>141</v>
      </c>
      <c r="H22" s="21" t="s">
        <v>133</v>
      </c>
      <c r="I22" s="21" t="s">
        <v>134</v>
      </c>
      <c r="J22" s="21" t="s">
        <v>89</v>
      </c>
      <c r="K22" s="21" t="s">
        <v>142</v>
      </c>
      <c r="L22" s="21" t="s">
        <v>136</v>
      </c>
      <c r="M22" s="22" t="n">
        <v>7.5</v>
      </c>
      <c r="N22" s="23"/>
      <c r="O22" s="23"/>
      <c r="P22" s="23"/>
    </row>
    <row r="23" customFormat="false" ht="45.75" hidden="false" customHeight="true" outlineLevel="0" collapsed="false">
      <c r="A23" s="16" t="n">
        <v>22</v>
      </c>
      <c r="B23" s="17" t="s">
        <v>150</v>
      </c>
      <c r="C23" s="31" t="s">
        <v>22</v>
      </c>
      <c r="D23" s="19" t="s">
        <v>87</v>
      </c>
      <c r="E23" s="20" t="s">
        <v>149</v>
      </c>
      <c r="F23" s="21" t="s">
        <v>89</v>
      </c>
      <c r="G23" s="21" t="s">
        <v>151</v>
      </c>
      <c r="H23" s="21" t="s">
        <v>133</v>
      </c>
      <c r="I23" s="21" t="s">
        <v>134</v>
      </c>
      <c r="J23" s="21" t="s">
        <v>89</v>
      </c>
      <c r="K23" s="21" t="s">
        <v>152</v>
      </c>
      <c r="L23" s="21" t="s">
        <v>136</v>
      </c>
      <c r="M23" s="22" t="n">
        <v>8</v>
      </c>
      <c r="N23" s="23"/>
      <c r="O23" s="23"/>
      <c r="P23" s="23"/>
    </row>
    <row r="24" customFormat="false" ht="45.75" hidden="false" customHeight="true" outlineLevel="0" collapsed="false">
      <c r="A24" s="16" t="n">
        <v>23</v>
      </c>
      <c r="B24" s="17" t="s">
        <v>153</v>
      </c>
      <c r="C24" s="31" t="s">
        <v>22</v>
      </c>
      <c r="D24" s="19" t="s">
        <v>87</v>
      </c>
      <c r="E24" s="20" t="s">
        <v>149</v>
      </c>
      <c r="F24" s="21" t="s">
        <v>89</v>
      </c>
      <c r="G24" s="21" t="s">
        <v>154</v>
      </c>
      <c r="H24" s="21" t="s">
        <v>133</v>
      </c>
      <c r="I24" s="21" t="s">
        <v>134</v>
      </c>
      <c r="J24" s="21" t="s">
        <v>89</v>
      </c>
      <c r="K24" s="21" t="s">
        <v>155</v>
      </c>
      <c r="L24" s="21" t="s">
        <v>136</v>
      </c>
      <c r="M24" s="22" t="n">
        <v>8.5</v>
      </c>
      <c r="N24" s="23"/>
      <c r="O24" s="23"/>
      <c r="P24" s="23"/>
    </row>
    <row r="25" customFormat="false" ht="45.75" hidden="false" customHeight="true" outlineLevel="0" collapsed="false">
      <c r="A25" s="24" t="n">
        <v>24</v>
      </c>
      <c r="B25" s="25" t="s">
        <v>156</v>
      </c>
      <c r="C25" s="31" t="s">
        <v>22</v>
      </c>
      <c r="D25" s="26" t="s">
        <v>101</v>
      </c>
      <c r="E25" s="27" t="s">
        <v>149</v>
      </c>
      <c r="F25" s="28" t="s">
        <v>89</v>
      </c>
      <c r="G25" s="28" t="s">
        <v>144</v>
      </c>
      <c r="H25" s="28" t="s">
        <v>145</v>
      </c>
      <c r="I25" s="28" t="s">
        <v>105</v>
      </c>
      <c r="J25" s="28" t="s">
        <v>89</v>
      </c>
      <c r="K25" s="28" t="s">
        <v>157</v>
      </c>
      <c r="L25" s="28" t="s">
        <v>147</v>
      </c>
      <c r="M25" s="29" t="n">
        <v>5.5</v>
      </c>
      <c r="N25" s="30"/>
      <c r="O25" s="30"/>
      <c r="P25" s="30"/>
    </row>
    <row r="26" customFormat="false" ht="45.75" hidden="false" customHeight="true" outlineLevel="0" collapsed="false">
      <c r="A26" s="16" t="n">
        <v>25</v>
      </c>
      <c r="B26" s="17" t="s">
        <v>158</v>
      </c>
      <c r="C26" s="31" t="s">
        <v>22</v>
      </c>
      <c r="D26" s="19" t="s">
        <v>87</v>
      </c>
      <c r="E26" s="20" t="s">
        <v>149</v>
      </c>
      <c r="F26" s="21" t="s">
        <v>89</v>
      </c>
      <c r="G26" s="21" t="s">
        <v>154</v>
      </c>
      <c r="H26" s="21" t="s">
        <v>133</v>
      </c>
      <c r="I26" s="21" t="s">
        <v>134</v>
      </c>
      <c r="J26" s="21" t="s">
        <v>89</v>
      </c>
      <c r="K26" s="21" t="s">
        <v>142</v>
      </c>
      <c r="L26" s="21" t="s">
        <v>136</v>
      </c>
      <c r="M26" s="22" t="n">
        <v>8</v>
      </c>
      <c r="N26" s="23"/>
      <c r="O26" s="23"/>
      <c r="P26" s="23"/>
    </row>
    <row r="27" customFormat="false" ht="45.75" hidden="false" customHeight="true" outlineLevel="0" collapsed="false">
      <c r="A27" s="16" t="n">
        <v>26</v>
      </c>
      <c r="B27" s="17" t="s">
        <v>159</v>
      </c>
      <c r="C27" s="31" t="s">
        <v>22</v>
      </c>
      <c r="D27" s="19" t="s">
        <v>87</v>
      </c>
      <c r="E27" s="20" t="s">
        <v>149</v>
      </c>
      <c r="F27" s="21" t="s">
        <v>89</v>
      </c>
      <c r="G27" s="21" t="s">
        <v>160</v>
      </c>
      <c r="H27" s="21" t="s">
        <v>133</v>
      </c>
      <c r="I27" s="21" t="s">
        <v>134</v>
      </c>
      <c r="J27" s="21" t="s">
        <v>89</v>
      </c>
      <c r="K27" s="21" t="s">
        <v>155</v>
      </c>
      <c r="L27" s="21" t="s">
        <v>136</v>
      </c>
      <c r="M27" s="22" t="n">
        <v>8.5</v>
      </c>
      <c r="N27" s="23"/>
      <c r="O27" s="23"/>
      <c r="P27" s="23"/>
    </row>
    <row r="28" customFormat="false" ht="45.75" hidden="false" customHeight="true" outlineLevel="0" collapsed="false">
      <c r="A28" s="16" t="n">
        <v>27</v>
      </c>
      <c r="B28" s="17" t="s">
        <v>161</v>
      </c>
      <c r="C28" s="31" t="s">
        <v>22</v>
      </c>
      <c r="D28" s="19" t="s">
        <v>87</v>
      </c>
      <c r="E28" s="20" t="s">
        <v>149</v>
      </c>
      <c r="F28" s="21" t="s">
        <v>89</v>
      </c>
      <c r="G28" s="21" t="s">
        <v>162</v>
      </c>
      <c r="H28" s="21" t="s">
        <v>133</v>
      </c>
      <c r="I28" s="21" t="s">
        <v>134</v>
      </c>
      <c r="J28" s="21" t="s">
        <v>89</v>
      </c>
      <c r="K28" s="21" t="s">
        <v>163</v>
      </c>
      <c r="L28" s="21" t="s">
        <v>136</v>
      </c>
      <c r="M28" s="22" t="n">
        <v>9</v>
      </c>
      <c r="N28" s="23"/>
      <c r="O28" s="23"/>
      <c r="P28" s="23"/>
    </row>
    <row r="29" customFormat="false" ht="45.75" hidden="false" customHeight="true" outlineLevel="0" collapsed="false">
      <c r="A29" s="24" t="n">
        <v>28</v>
      </c>
      <c r="B29" s="25" t="s">
        <v>164</v>
      </c>
      <c r="C29" s="31" t="s">
        <v>22</v>
      </c>
      <c r="D29" s="26" t="s">
        <v>101</v>
      </c>
      <c r="E29" s="27" t="s">
        <v>149</v>
      </c>
      <c r="F29" s="28" t="s">
        <v>89</v>
      </c>
      <c r="G29" s="28" t="s">
        <v>144</v>
      </c>
      <c r="H29" s="28" t="s">
        <v>145</v>
      </c>
      <c r="I29" s="28" t="s">
        <v>105</v>
      </c>
      <c r="J29" s="28" t="s">
        <v>89</v>
      </c>
      <c r="K29" s="28" t="s">
        <v>157</v>
      </c>
      <c r="L29" s="28" t="s">
        <v>147</v>
      </c>
      <c r="M29" s="29" t="n">
        <v>6</v>
      </c>
      <c r="N29" s="30"/>
      <c r="O29" s="30"/>
      <c r="P29" s="30"/>
    </row>
    <row r="30" customFormat="false" ht="45.75" hidden="false" customHeight="true" outlineLevel="0" collapsed="false">
      <c r="A30" s="16" t="n">
        <v>29</v>
      </c>
      <c r="B30" s="17" t="s">
        <v>165</v>
      </c>
      <c r="C30" s="31" t="s">
        <v>22</v>
      </c>
      <c r="D30" s="19" t="s">
        <v>87</v>
      </c>
      <c r="E30" s="20" t="s">
        <v>166</v>
      </c>
      <c r="F30" s="21" t="s">
        <v>89</v>
      </c>
      <c r="G30" s="21" t="s">
        <v>162</v>
      </c>
      <c r="H30" s="21" t="s">
        <v>133</v>
      </c>
      <c r="I30" s="21" t="s">
        <v>134</v>
      </c>
      <c r="J30" s="21" t="s">
        <v>89</v>
      </c>
      <c r="K30" s="21" t="s">
        <v>155</v>
      </c>
      <c r="L30" s="21" t="s">
        <v>136</v>
      </c>
      <c r="M30" s="22" t="n">
        <v>8.5</v>
      </c>
      <c r="N30" s="23"/>
      <c r="O30" s="23"/>
      <c r="P30" s="23"/>
    </row>
    <row r="31" customFormat="false" ht="45.75" hidden="false" customHeight="true" outlineLevel="0" collapsed="false">
      <c r="A31" s="16" t="n">
        <v>30</v>
      </c>
      <c r="B31" s="17" t="s">
        <v>167</v>
      </c>
      <c r="C31" s="31" t="s">
        <v>22</v>
      </c>
      <c r="D31" s="19" t="s">
        <v>87</v>
      </c>
      <c r="E31" s="20" t="s">
        <v>166</v>
      </c>
      <c r="F31" s="21" t="s">
        <v>89</v>
      </c>
      <c r="G31" s="21" t="s">
        <v>168</v>
      </c>
      <c r="H31" s="21" t="s">
        <v>133</v>
      </c>
      <c r="I31" s="21" t="s">
        <v>134</v>
      </c>
      <c r="J31" s="21" t="s">
        <v>89</v>
      </c>
      <c r="K31" s="21" t="s">
        <v>163</v>
      </c>
      <c r="L31" s="21" t="s">
        <v>136</v>
      </c>
      <c r="M31" s="22" t="n">
        <v>9</v>
      </c>
      <c r="N31" s="23"/>
      <c r="O31" s="23"/>
      <c r="P31" s="23"/>
    </row>
    <row r="32" customFormat="false" ht="45.75" hidden="false" customHeight="true" outlineLevel="0" collapsed="false">
      <c r="A32" s="16" t="n">
        <v>31</v>
      </c>
      <c r="B32" s="17" t="s">
        <v>169</v>
      </c>
      <c r="C32" s="31" t="s">
        <v>22</v>
      </c>
      <c r="D32" s="19" t="s">
        <v>87</v>
      </c>
      <c r="E32" s="20" t="s">
        <v>166</v>
      </c>
      <c r="F32" s="21" t="s">
        <v>89</v>
      </c>
      <c r="G32" s="21" t="s">
        <v>168</v>
      </c>
      <c r="H32" s="21" t="s">
        <v>133</v>
      </c>
      <c r="I32" s="21" t="s">
        <v>134</v>
      </c>
      <c r="J32" s="21" t="s">
        <v>89</v>
      </c>
      <c r="K32" s="21" t="s">
        <v>170</v>
      </c>
      <c r="L32" s="21" t="s">
        <v>136</v>
      </c>
      <c r="M32" s="22" t="n">
        <v>9</v>
      </c>
      <c r="N32" s="23"/>
      <c r="O32" s="23"/>
      <c r="P32" s="23"/>
    </row>
    <row r="33" customFormat="false" ht="45.75" hidden="false" customHeight="true" outlineLevel="0" collapsed="false">
      <c r="A33" s="24" t="n">
        <v>32</v>
      </c>
      <c r="B33" s="25" t="s">
        <v>171</v>
      </c>
      <c r="C33" s="31" t="s">
        <v>22</v>
      </c>
      <c r="D33" s="26" t="s">
        <v>101</v>
      </c>
      <c r="E33" s="27" t="s">
        <v>166</v>
      </c>
      <c r="F33" s="28" t="s">
        <v>89</v>
      </c>
      <c r="G33" s="28" t="s">
        <v>144</v>
      </c>
      <c r="H33" s="28" t="s">
        <v>145</v>
      </c>
      <c r="I33" s="28" t="s">
        <v>105</v>
      </c>
      <c r="J33" s="28" t="s">
        <v>89</v>
      </c>
      <c r="K33" s="28" t="s">
        <v>157</v>
      </c>
      <c r="L33" s="28" t="s">
        <v>147</v>
      </c>
      <c r="M33" s="29" t="n">
        <v>6</v>
      </c>
      <c r="N33" s="30"/>
      <c r="O33" s="30"/>
      <c r="P33" s="30"/>
    </row>
    <row r="34" customFormat="false" ht="45.75" hidden="false" customHeight="true" outlineLevel="0" collapsed="false">
      <c r="A34" s="16" t="n">
        <v>33</v>
      </c>
      <c r="B34" s="17" t="s">
        <v>172</v>
      </c>
      <c r="C34" s="32" t="s">
        <v>26</v>
      </c>
      <c r="D34" s="19" t="s">
        <v>87</v>
      </c>
      <c r="E34" s="20" t="s">
        <v>173</v>
      </c>
      <c r="F34" s="21" t="s">
        <v>174</v>
      </c>
      <c r="G34" s="21" t="s">
        <v>175</v>
      </c>
      <c r="H34" s="21" t="s">
        <v>176</v>
      </c>
      <c r="I34" s="21" t="s">
        <v>177</v>
      </c>
      <c r="J34" s="21" t="s">
        <v>89</v>
      </c>
      <c r="K34" s="21" t="s">
        <v>178</v>
      </c>
      <c r="L34" s="21" t="s">
        <v>179</v>
      </c>
      <c r="M34" s="22" t="n">
        <v>9.5</v>
      </c>
      <c r="N34" s="23"/>
      <c r="O34" s="23"/>
      <c r="P34" s="23"/>
    </row>
    <row r="35" customFormat="false" ht="45.75" hidden="false" customHeight="true" outlineLevel="0" collapsed="false">
      <c r="A35" s="16" t="n">
        <v>34</v>
      </c>
      <c r="B35" s="17" t="s">
        <v>180</v>
      </c>
      <c r="C35" s="32" t="s">
        <v>26</v>
      </c>
      <c r="D35" s="19" t="s">
        <v>87</v>
      </c>
      <c r="E35" s="20" t="s">
        <v>173</v>
      </c>
      <c r="F35" s="21" t="s">
        <v>181</v>
      </c>
      <c r="G35" s="21" t="s">
        <v>175</v>
      </c>
      <c r="H35" s="21" t="s">
        <v>176</v>
      </c>
      <c r="I35" s="21" t="s">
        <v>177</v>
      </c>
      <c r="J35" s="21" t="s">
        <v>89</v>
      </c>
      <c r="K35" s="21" t="s">
        <v>182</v>
      </c>
      <c r="L35" s="21" t="s">
        <v>179</v>
      </c>
      <c r="M35" s="22" t="n">
        <v>10.5</v>
      </c>
      <c r="N35" s="23"/>
      <c r="O35" s="23"/>
      <c r="P35" s="23"/>
    </row>
    <row r="36" customFormat="false" ht="45.75" hidden="false" customHeight="true" outlineLevel="0" collapsed="false">
      <c r="A36" s="16" t="n">
        <v>35</v>
      </c>
      <c r="B36" s="17" t="s">
        <v>183</v>
      </c>
      <c r="C36" s="32" t="s">
        <v>26</v>
      </c>
      <c r="D36" s="19" t="s">
        <v>87</v>
      </c>
      <c r="E36" s="20" t="s">
        <v>173</v>
      </c>
      <c r="F36" s="21" t="s">
        <v>184</v>
      </c>
      <c r="G36" s="21" t="s">
        <v>175</v>
      </c>
      <c r="H36" s="21" t="s">
        <v>176</v>
      </c>
      <c r="I36" s="21" t="s">
        <v>177</v>
      </c>
      <c r="J36" s="21" t="s">
        <v>89</v>
      </c>
      <c r="K36" s="21" t="s">
        <v>185</v>
      </c>
      <c r="L36" s="21" t="s">
        <v>179</v>
      </c>
      <c r="M36" s="22" t="n">
        <v>11</v>
      </c>
      <c r="N36" s="23"/>
      <c r="O36" s="23"/>
      <c r="P36" s="23"/>
    </row>
    <row r="37" customFormat="false" ht="45.75" hidden="false" customHeight="true" outlineLevel="0" collapsed="false">
      <c r="A37" s="24" t="n">
        <v>36</v>
      </c>
      <c r="B37" s="25" t="s">
        <v>186</v>
      </c>
      <c r="C37" s="32" t="s">
        <v>26</v>
      </c>
      <c r="D37" s="26" t="s">
        <v>101</v>
      </c>
      <c r="E37" s="27" t="s">
        <v>173</v>
      </c>
      <c r="F37" s="28" t="s">
        <v>187</v>
      </c>
      <c r="G37" s="28" t="s">
        <v>188</v>
      </c>
      <c r="H37" s="28" t="s">
        <v>189</v>
      </c>
      <c r="I37" s="28" t="s">
        <v>190</v>
      </c>
      <c r="J37" s="28" t="s">
        <v>89</v>
      </c>
      <c r="K37" s="28" t="s">
        <v>191</v>
      </c>
      <c r="L37" s="28" t="s">
        <v>192</v>
      </c>
      <c r="M37" s="29" t="n">
        <v>7</v>
      </c>
      <c r="N37" s="30"/>
      <c r="O37" s="30"/>
      <c r="P37" s="30"/>
    </row>
    <row r="38" customFormat="false" ht="45.75" hidden="false" customHeight="true" outlineLevel="0" collapsed="false">
      <c r="A38" s="16" t="n">
        <v>37</v>
      </c>
      <c r="B38" s="17" t="s">
        <v>193</v>
      </c>
      <c r="C38" s="32" t="s">
        <v>26</v>
      </c>
      <c r="D38" s="19" t="s">
        <v>87</v>
      </c>
      <c r="E38" s="20" t="s">
        <v>173</v>
      </c>
      <c r="F38" s="21" t="s">
        <v>184</v>
      </c>
      <c r="G38" s="21" t="s">
        <v>175</v>
      </c>
      <c r="H38" s="21" t="s">
        <v>176</v>
      </c>
      <c r="I38" s="21" t="s">
        <v>177</v>
      </c>
      <c r="J38" s="21" t="s">
        <v>89</v>
      </c>
      <c r="K38" s="21" t="s">
        <v>182</v>
      </c>
      <c r="L38" s="21" t="s">
        <v>179</v>
      </c>
      <c r="M38" s="22" t="n">
        <v>10.5</v>
      </c>
      <c r="N38" s="23"/>
      <c r="O38" s="23"/>
      <c r="P38" s="23"/>
    </row>
    <row r="39" customFormat="false" ht="45.75" hidden="false" customHeight="true" outlineLevel="0" collapsed="false">
      <c r="A39" s="16" t="n">
        <v>38</v>
      </c>
      <c r="B39" s="17" t="s">
        <v>194</v>
      </c>
      <c r="C39" s="32" t="s">
        <v>26</v>
      </c>
      <c r="D39" s="19" t="s">
        <v>87</v>
      </c>
      <c r="E39" s="20" t="s">
        <v>173</v>
      </c>
      <c r="F39" s="21" t="s">
        <v>195</v>
      </c>
      <c r="G39" s="21" t="s">
        <v>175</v>
      </c>
      <c r="H39" s="21" t="s">
        <v>176</v>
      </c>
      <c r="I39" s="21" t="s">
        <v>177</v>
      </c>
      <c r="J39" s="21" t="s">
        <v>89</v>
      </c>
      <c r="K39" s="21" t="s">
        <v>185</v>
      </c>
      <c r="L39" s="21" t="s">
        <v>179</v>
      </c>
      <c r="M39" s="22" t="n">
        <v>11</v>
      </c>
      <c r="N39" s="23"/>
      <c r="O39" s="23"/>
      <c r="P39" s="23"/>
    </row>
    <row r="40" customFormat="false" ht="45.75" hidden="false" customHeight="true" outlineLevel="0" collapsed="false">
      <c r="A40" s="16" t="n">
        <v>39</v>
      </c>
      <c r="B40" s="17" t="s">
        <v>196</v>
      </c>
      <c r="C40" s="32" t="s">
        <v>26</v>
      </c>
      <c r="D40" s="19" t="s">
        <v>87</v>
      </c>
      <c r="E40" s="20" t="s">
        <v>173</v>
      </c>
      <c r="F40" s="21" t="s">
        <v>197</v>
      </c>
      <c r="G40" s="21" t="s">
        <v>175</v>
      </c>
      <c r="H40" s="21" t="s">
        <v>176</v>
      </c>
      <c r="I40" s="21" t="s">
        <v>177</v>
      </c>
      <c r="J40" s="21" t="s">
        <v>89</v>
      </c>
      <c r="K40" s="21" t="s">
        <v>198</v>
      </c>
      <c r="L40" s="21" t="s">
        <v>179</v>
      </c>
      <c r="M40" s="22" t="n">
        <v>11.5</v>
      </c>
      <c r="N40" s="23"/>
      <c r="O40" s="23"/>
      <c r="P40" s="23"/>
    </row>
    <row r="41" customFormat="false" ht="45.75" hidden="false" customHeight="true" outlineLevel="0" collapsed="false">
      <c r="A41" s="24" t="n">
        <v>40</v>
      </c>
      <c r="B41" s="25" t="s">
        <v>199</v>
      </c>
      <c r="C41" s="32" t="s">
        <v>26</v>
      </c>
      <c r="D41" s="26" t="s">
        <v>101</v>
      </c>
      <c r="E41" s="27" t="s">
        <v>200</v>
      </c>
      <c r="F41" s="28" t="s">
        <v>187</v>
      </c>
      <c r="G41" s="28" t="s">
        <v>188</v>
      </c>
      <c r="H41" s="28" t="s">
        <v>189</v>
      </c>
      <c r="I41" s="28" t="s">
        <v>190</v>
      </c>
      <c r="J41" s="28" t="s">
        <v>89</v>
      </c>
      <c r="K41" s="28" t="s">
        <v>191</v>
      </c>
      <c r="L41" s="28" t="s">
        <v>192</v>
      </c>
      <c r="M41" s="29" t="n">
        <v>7</v>
      </c>
      <c r="N41" s="30"/>
      <c r="O41" s="30"/>
      <c r="P41" s="30"/>
    </row>
    <row r="42" customFormat="false" ht="45.75" hidden="false" customHeight="true" outlineLevel="0" collapsed="false">
      <c r="A42" s="16" t="n">
        <v>41</v>
      </c>
      <c r="B42" s="17" t="s">
        <v>201</v>
      </c>
      <c r="C42" s="32" t="s">
        <v>26</v>
      </c>
      <c r="D42" s="19" t="s">
        <v>87</v>
      </c>
      <c r="E42" s="20" t="s">
        <v>200</v>
      </c>
      <c r="F42" s="21" t="s">
        <v>202</v>
      </c>
      <c r="G42" s="21" t="s">
        <v>175</v>
      </c>
      <c r="H42" s="21" t="s">
        <v>176</v>
      </c>
      <c r="I42" s="21" t="s">
        <v>177</v>
      </c>
      <c r="J42" s="21" t="s">
        <v>89</v>
      </c>
      <c r="K42" s="21" t="s">
        <v>185</v>
      </c>
      <c r="L42" s="21" t="s">
        <v>179</v>
      </c>
      <c r="M42" s="22" t="n">
        <v>10.5</v>
      </c>
      <c r="N42" s="23"/>
      <c r="O42" s="23"/>
      <c r="P42" s="23"/>
    </row>
    <row r="43" customFormat="false" ht="45.75" hidden="false" customHeight="true" outlineLevel="0" collapsed="false">
      <c r="A43" s="16" t="n">
        <v>42</v>
      </c>
      <c r="B43" s="17" t="s">
        <v>203</v>
      </c>
      <c r="C43" s="32" t="s">
        <v>26</v>
      </c>
      <c r="D43" s="19" t="s">
        <v>87</v>
      </c>
      <c r="E43" s="20" t="s">
        <v>200</v>
      </c>
      <c r="F43" s="21" t="s">
        <v>204</v>
      </c>
      <c r="G43" s="21" t="s">
        <v>175</v>
      </c>
      <c r="H43" s="21" t="s">
        <v>176</v>
      </c>
      <c r="I43" s="21" t="s">
        <v>177</v>
      </c>
      <c r="J43" s="21" t="s">
        <v>89</v>
      </c>
      <c r="K43" s="21" t="s">
        <v>198</v>
      </c>
      <c r="L43" s="21" t="s">
        <v>179</v>
      </c>
      <c r="M43" s="22" t="n">
        <v>11.5</v>
      </c>
      <c r="N43" s="23"/>
      <c r="O43" s="23"/>
      <c r="P43" s="23"/>
    </row>
    <row r="44" customFormat="false" ht="45.75" hidden="false" customHeight="true" outlineLevel="0" collapsed="false">
      <c r="A44" s="16" t="n">
        <v>43</v>
      </c>
      <c r="B44" s="17" t="s">
        <v>205</v>
      </c>
      <c r="C44" s="32" t="s">
        <v>26</v>
      </c>
      <c r="D44" s="19" t="s">
        <v>87</v>
      </c>
      <c r="E44" s="20" t="s">
        <v>200</v>
      </c>
      <c r="F44" s="21" t="s">
        <v>206</v>
      </c>
      <c r="G44" s="21" t="s">
        <v>175</v>
      </c>
      <c r="H44" s="21" t="s">
        <v>176</v>
      </c>
      <c r="I44" s="21" t="s">
        <v>177</v>
      </c>
      <c r="J44" s="21" t="s">
        <v>89</v>
      </c>
      <c r="K44" s="21" t="s">
        <v>198</v>
      </c>
      <c r="L44" s="21" t="s">
        <v>179</v>
      </c>
      <c r="M44" s="22" t="n">
        <v>11.5</v>
      </c>
      <c r="N44" s="23"/>
      <c r="O44" s="23"/>
      <c r="P44" s="23"/>
    </row>
    <row r="45" customFormat="false" ht="45.75" hidden="false" customHeight="true" outlineLevel="0" collapsed="false">
      <c r="A45" s="24" t="n">
        <v>44</v>
      </c>
      <c r="B45" s="25" t="s">
        <v>207</v>
      </c>
      <c r="C45" s="32" t="s">
        <v>26</v>
      </c>
      <c r="D45" s="26" t="s">
        <v>101</v>
      </c>
      <c r="E45" s="27" t="s">
        <v>200</v>
      </c>
      <c r="F45" s="28" t="s">
        <v>187</v>
      </c>
      <c r="G45" s="28" t="s">
        <v>188</v>
      </c>
      <c r="H45" s="28" t="s">
        <v>189</v>
      </c>
      <c r="I45" s="28" t="s">
        <v>190</v>
      </c>
      <c r="J45" s="28" t="s">
        <v>89</v>
      </c>
      <c r="K45" s="28" t="s">
        <v>191</v>
      </c>
      <c r="L45" s="28" t="s">
        <v>192</v>
      </c>
      <c r="M45" s="29" t="n">
        <v>7</v>
      </c>
      <c r="N45" s="30"/>
      <c r="O45" s="30"/>
      <c r="P45" s="30"/>
    </row>
    <row r="46" customFormat="false" ht="45.75" hidden="false" customHeight="true" outlineLevel="0" collapsed="false">
      <c r="A46" s="16" t="n">
        <v>45</v>
      </c>
      <c r="B46" s="17" t="s">
        <v>208</v>
      </c>
      <c r="C46" s="32" t="s">
        <v>26</v>
      </c>
      <c r="D46" s="19" t="s">
        <v>87</v>
      </c>
      <c r="E46" s="20" t="s">
        <v>200</v>
      </c>
      <c r="F46" s="21" t="s">
        <v>209</v>
      </c>
      <c r="G46" s="21" t="s">
        <v>175</v>
      </c>
      <c r="H46" s="21" t="s">
        <v>176</v>
      </c>
      <c r="I46" s="21" t="s">
        <v>177</v>
      </c>
      <c r="J46" s="21" t="s">
        <v>89</v>
      </c>
      <c r="K46" s="21" t="s">
        <v>182</v>
      </c>
      <c r="L46" s="21" t="s">
        <v>179</v>
      </c>
      <c r="M46" s="22" t="n">
        <v>9</v>
      </c>
      <c r="N46" s="23"/>
      <c r="O46" s="23"/>
      <c r="P46" s="23"/>
    </row>
    <row r="47" customFormat="false" ht="45.75" hidden="false" customHeight="true" outlineLevel="0" collapsed="false">
      <c r="A47" s="24" t="n">
        <v>46</v>
      </c>
      <c r="B47" s="25" t="s">
        <v>210</v>
      </c>
      <c r="C47" s="32" t="s">
        <v>26</v>
      </c>
      <c r="D47" s="26" t="s">
        <v>211</v>
      </c>
      <c r="E47" s="27" t="s">
        <v>212</v>
      </c>
      <c r="F47" s="28" t="s">
        <v>213</v>
      </c>
      <c r="G47" s="28" t="s">
        <v>175</v>
      </c>
      <c r="H47" s="28" t="s">
        <v>176</v>
      </c>
      <c r="I47" s="28" t="s">
        <v>177</v>
      </c>
      <c r="J47" s="28" t="s">
        <v>89</v>
      </c>
      <c r="K47" s="28" t="s">
        <v>214</v>
      </c>
      <c r="L47" s="28" t="s">
        <v>179</v>
      </c>
      <c r="M47" s="29" t="n">
        <v>6</v>
      </c>
      <c r="N47" s="30"/>
      <c r="O47" s="30"/>
      <c r="P47" s="30"/>
    </row>
    <row r="48" customFormat="false" ht="45.75" hidden="false" customHeight="true" outlineLevel="0" collapsed="false">
      <c r="A48" s="33" t="n">
        <v>47</v>
      </c>
      <c r="B48" s="34" t="s">
        <v>215</v>
      </c>
      <c r="C48" s="32" t="s">
        <v>26</v>
      </c>
      <c r="D48" s="35" t="s">
        <v>216</v>
      </c>
      <c r="E48" s="36" t="s">
        <v>217</v>
      </c>
      <c r="F48" s="37" t="s">
        <v>218</v>
      </c>
      <c r="G48" s="37" t="s">
        <v>219</v>
      </c>
      <c r="H48" s="37" t="s">
        <v>220</v>
      </c>
      <c r="I48" s="37" t="s">
        <v>89</v>
      </c>
      <c r="J48" s="37" t="s">
        <v>221</v>
      </c>
      <c r="K48" s="37" t="s">
        <v>222</v>
      </c>
      <c r="L48" s="38" t="s">
        <v>223</v>
      </c>
      <c r="M48" s="39" t="n">
        <v>7</v>
      </c>
      <c r="N48" s="40"/>
      <c r="O48" s="40"/>
      <c r="P48" s="40"/>
    </row>
    <row r="49" customFormat="false" ht="45.75" hidden="false" customHeight="true" outlineLevel="0" collapsed="false">
      <c r="A49" s="16" t="n">
        <v>48</v>
      </c>
      <c r="B49" s="17" t="s">
        <v>224</v>
      </c>
      <c r="C49" s="32" t="s">
        <v>26</v>
      </c>
      <c r="D49" s="19" t="s">
        <v>87</v>
      </c>
      <c r="E49" s="20" t="s">
        <v>225</v>
      </c>
      <c r="F49" s="21" t="s">
        <v>206</v>
      </c>
      <c r="G49" s="21" t="s">
        <v>175</v>
      </c>
      <c r="H49" s="21" t="s">
        <v>176</v>
      </c>
      <c r="I49" s="21" t="s">
        <v>177</v>
      </c>
      <c r="J49" s="21" t="s">
        <v>89</v>
      </c>
      <c r="K49" s="21" t="s">
        <v>185</v>
      </c>
      <c r="L49" s="21" t="s">
        <v>179</v>
      </c>
      <c r="M49" s="22" t="n">
        <v>10.5</v>
      </c>
      <c r="N49" s="23"/>
      <c r="O49" s="23"/>
      <c r="P49" s="23"/>
    </row>
    <row r="50" customFormat="false" ht="45.75" hidden="false" customHeight="true" outlineLevel="0" collapsed="false">
      <c r="A50" s="16" t="n">
        <v>49</v>
      </c>
      <c r="B50" s="17" t="s">
        <v>226</v>
      </c>
      <c r="C50" s="32" t="s">
        <v>26</v>
      </c>
      <c r="D50" s="19" t="s">
        <v>87</v>
      </c>
      <c r="E50" s="20" t="s">
        <v>225</v>
      </c>
      <c r="F50" s="21" t="s">
        <v>227</v>
      </c>
      <c r="G50" s="21" t="s">
        <v>175</v>
      </c>
      <c r="H50" s="21" t="s">
        <v>176</v>
      </c>
      <c r="I50" s="21" t="s">
        <v>177</v>
      </c>
      <c r="J50" s="21" t="s">
        <v>89</v>
      </c>
      <c r="K50" s="21" t="s">
        <v>198</v>
      </c>
      <c r="L50" s="21" t="s">
        <v>179</v>
      </c>
      <c r="M50" s="22" t="n">
        <v>11.5</v>
      </c>
      <c r="N50" s="23"/>
      <c r="O50" s="23"/>
      <c r="P50" s="23"/>
    </row>
    <row r="51" customFormat="false" ht="45.75" hidden="false" customHeight="true" outlineLevel="0" collapsed="false">
      <c r="A51" s="24" t="n">
        <v>50</v>
      </c>
      <c r="B51" s="25" t="s">
        <v>228</v>
      </c>
      <c r="C51" s="32" t="s">
        <v>26</v>
      </c>
      <c r="D51" s="26" t="s">
        <v>101</v>
      </c>
      <c r="E51" s="27" t="s">
        <v>225</v>
      </c>
      <c r="F51" s="28" t="s">
        <v>187</v>
      </c>
      <c r="G51" s="28" t="s">
        <v>188</v>
      </c>
      <c r="H51" s="28" t="s">
        <v>189</v>
      </c>
      <c r="I51" s="28" t="s">
        <v>190</v>
      </c>
      <c r="J51" s="28" t="s">
        <v>89</v>
      </c>
      <c r="K51" s="28" t="s">
        <v>191</v>
      </c>
      <c r="L51" s="28" t="s">
        <v>192</v>
      </c>
      <c r="M51" s="29" t="n">
        <v>7</v>
      </c>
      <c r="N51" s="30"/>
      <c r="O51" s="30"/>
      <c r="P51" s="30"/>
    </row>
    <row r="52" customFormat="false" ht="45.75" hidden="false" customHeight="true" outlineLevel="0" collapsed="false">
      <c r="A52" s="16" t="n">
        <v>51</v>
      </c>
      <c r="B52" s="17" t="s">
        <v>229</v>
      </c>
      <c r="C52" s="41" t="s">
        <v>31</v>
      </c>
      <c r="D52" s="19" t="s">
        <v>87</v>
      </c>
      <c r="E52" s="20" t="s">
        <v>230</v>
      </c>
      <c r="F52" s="21" t="s">
        <v>231</v>
      </c>
      <c r="G52" s="21" t="s">
        <v>232</v>
      </c>
      <c r="H52" s="21" t="s">
        <v>233</v>
      </c>
      <c r="I52" s="21" t="s">
        <v>234</v>
      </c>
      <c r="J52" s="21" t="s">
        <v>89</v>
      </c>
      <c r="K52" s="21" t="s">
        <v>235</v>
      </c>
      <c r="L52" s="21" t="s">
        <v>236</v>
      </c>
      <c r="M52" s="22" t="n">
        <v>11</v>
      </c>
      <c r="N52" s="23"/>
      <c r="O52" s="23"/>
      <c r="P52" s="23"/>
    </row>
    <row r="53" customFormat="false" ht="45.75" hidden="false" customHeight="true" outlineLevel="0" collapsed="false">
      <c r="A53" s="16" t="n">
        <v>52</v>
      </c>
      <c r="B53" s="17" t="s">
        <v>237</v>
      </c>
      <c r="C53" s="41" t="s">
        <v>31</v>
      </c>
      <c r="D53" s="19" t="s">
        <v>87</v>
      </c>
      <c r="E53" s="20" t="s">
        <v>238</v>
      </c>
      <c r="F53" s="21" t="s">
        <v>239</v>
      </c>
      <c r="G53" s="21" t="s">
        <v>240</v>
      </c>
      <c r="H53" s="21" t="s">
        <v>241</v>
      </c>
      <c r="I53" s="21" t="s">
        <v>242</v>
      </c>
      <c r="J53" s="21" t="s">
        <v>89</v>
      </c>
      <c r="K53" s="21" t="s">
        <v>243</v>
      </c>
      <c r="L53" s="21" t="s">
        <v>244</v>
      </c>
      <c r="M53" s="22" t="n">
        <v>12</v>
      </c>
      <c r="N53" s="23"/>
      <c r="O53" s="23"/>
      <c r="P53" s="23"/>
    </row>
    <row r="54" customFormat="false" ht="45.75" hidden="false" customHeight="true" outlineLevel="0" collapsed="false">
      <c r="A54" s="16" t="n">
        <v>53</v>
      </c>
      <c r="B54" s="17" t="s">
        <v>245</v>
      </c>
      <c r="C54" s="41" t="s">
        <v>31</v>
      </c>
      <c r="D54" s="19" t="s">
        <v>246</v>
      </c>
      <c r="E54" s="20" t="s">
        <v>247</v>
      </c>
      <c r="F54" s="21" t="s">
        <v>248</v>
      </c>
      <c r="G54" s="21" t="s">
        <v>249</v>
      </c>
      <c r="H54" s="21" t="s">
        <v>241</v>
      </c>
      <c r="I54" s="21" t="s">
        <v>242</v>
      </c>
      <c r="J54" s="21" t="s">
        <v>89</v>
      </c>
      <c r="K54" s="21" t="s">
        <v>250</v>
      </c>
      <c r="L54" s="21" t="s">
        <v>251</v>
      </c>
      <c r="M54" s="22" t="n">
        <v>12.5</v>
      </c>
      <c r="N54" s="23"/>
      <c r="O54" s="23"/>
      <c r="P54" s="23"/>
    </row>
    <row r="55" customFormat="false" ht="45.75" hidden="false" customHeight="true" outlineLevel="0" collapsed="false">
      <c r="A55" s="24" t="n">
        <v>54</v>
      </c>
      <c r="B55" s="25" t="s">
        <v>252</v>
      </c>
      <c r="C55" s="41" t="s">
        <v>31</v>
      </c>
      <c r="D55" s="26" t="s">
        <v>101</v>
      </c>
      <c r="E55" s="27" t="s">
        <v>253</v>
      </c>
      <c r="F55" s="28" t="s">
        <v>254</v>
      </c>
      <c r="G55" s="28" t="s">
        <v>188</v>
      </c>
      <c r="H55" s="28" t="s">
        <v>189</v>
      </c>
      <c r="I55" s="28" t="s">
        <v>255</v>
      </c>
      <c r="J55" s="28" t="s">
        <v>89</v>
      </c>
      <c r="K55" s="28" t="s">
        <v>256</v>
      </c>
      <c r="L55" s="28" t="s">
        <v>257</v>
      </c>
      <c r="M55" s="29" t="n">
        <v>7</v>
      </c>
      <c r="N55" s="30"/>
      <c r="O55" s="30"/>
      <c r="P55" s="30"/>
    </row>
    <row r="56" customFormat="false" ht="45.75" hidden="false" customHeight="true" outlineLevel="0" collapsed="false">
      <c r="A56" s="16" t="n">
        <v>55</v>
      </c>
      <c r="B56" s="17" t="s">
        <v>258</v>
      </c>
      <c r="C56" s="41" t="s">
        <v>31</v>
      </c>
      <c r="D56" s="19" t="s">
        <v>246</v>
      </c>
      <c r="E56" s="20" t="s">
        <v>259</v>
      </c>
      <c r="F56" s="21" t="s">
        <v>260</v>
      </c>
      <c r="G56" s="21" t="s">
        <v>261</v>
      </c>
      <c r="H56" s="21" t="s">
        <v>233</v>
      </c>
      <c r="I56" s="21" t="s">
        <v>242</v>
      </c>
      <c r="J56" s="21" t="s">
        <v>89</v>
      </c>
      <c r="K56" s="21" t="s">
        <v>262</v>
      </c>
      <c r="L56" s="21" t="s">
        <v>244</v>
      </c>
      <c r="M56" s="22" t="n">
        <v>12</v>
      </c>
      <c r="N56" s="23"/>
      <c r="O56" s="23"/>
      <c r="P56" s="23"/>
    </row>
    <row r="57" customFormat="false" ht="45.75" hidden="false" customHeight="true" outlineLevel="0" collapsed="false">
      <c r="A57" s="24" t="n">
        <v>56</v>
      </c>
      <c r="B57" s="25" t="s">
        <v>263</v>
      </c>
      <c r="C57" s="41" t="s">
        <v>31</v>
      </c>
      <c r="D57" s="26" t="s">
        <v>211</v>
      </c>
      <c r="E57" s="27" t="s">
        <v>264</v>
      </c>
      <c r="F57" s="28" t="s">
        <v>265</v>
      </c>
      <c r="G57" s="28" t="s">
        <v>266</v>
      </c>
      <c r="H57" s="28" t="s">
        <v>267</v>
      </c>
      <c r="I57" s="28" t="s">
        <v>268</v>
      </c>
      <c r="J57" s="28" t="s">
        <v>89</v>
      </c>
      <c r="K57" s="28" t="s">
        <v>269</v>
      </c>
      <c r="L57" s="28" t="s">
        <v>270</v>
      </c>
      <c r="M57" s="29" t="n">
        <v>9</v>
      </c>
      <c r="N57" s="30"/>
      <c r="O57" s="30"/>
      <c r="P57" s="30"/>
    </row>
    <row r="58" customFormat="false" ht="45.75" hidden="false" customHeight="true" outlineLevel="0" collapsed="false">
      <c r="A58" s="24" t="n">
        <v>57</v>
      </c>
      <c r="B58" s="25" t="s">
        <v>271</v>
      </c>
      <c r="C58" s="41" t="s">
        <v>31</v>
      </c>
      <c r="D58" s="26" t="s">
        <v>211</v>
      </c>
      <c r="E58" s="27" t="s">
        <v>272</v>
      </c>
      <c r="F58" s="28" t="s">
        <v>254</v>
      </c>
      <c r="G58" s="28" t="s">
        <v>273</v>
      </c>
      <c r="H58" s="28" t="s">
        <v>189</v>
      </c>
      <c r="I58" s="28" t="s">
        <v>268</v>
      </c>
      <c r="J58" s="28" t="s">
        <v>89</v>
      </c>
      <c r="K58" s="28" t="s">
        <v>274</v>
      </c>
      <c r="L58" s="28" t="s">
        <v>275</v>
      </c>
      <c r="M58" s="29" t="n">
        <v>7.5</v>
      </c>
      <c r="N58" s="30"/>
      <c r="O58" s="30"/>
      <c r="P58" s="30"/>
    </row>
    <row r="59" customFormat="false" ht="45.75" hidden="false" customHeight="true" outlineLevel="0" collapsed="false">
      <c r="A59" s="24" t="n">
        <v>58</v>
      </c>
      <c r="B59" s="25" t="s">
        <v>276</v>
      </c>
      <c r="C59" s="41" t="s">
        <v>31</v>
      </c>
      <c r="D59" s="26" t="s">
        <v>211</v>
      </c>
      <c r="E59" s="27" t="s">
        <v>277</v>
      </c>
      <c r="F59" s="28" t="s">
        <v>278</v>
      </c>
      <c r="G59" s="28" t="s">
        <v>279</v>
      </c>
      <c r="H59" s="28" t="s">
        <v>280</v>
      </c>
      <c r="I59" s="28" t="s">
        <v>281</v>
      </c>
      <c r="J59" s="28" t="s">
        <v>89</v>
      </c>
      <c r="K59" s="28" t="s">
        <v>282</v>
      </c>
      <c r="L59" s="28" t="s">
        <v>283</v>
      </c>
      <c r="M59" s="29" t="n">
        <v>6</v>
      </c>
      <c r="N59" s="30"/>
      <c r="O59" s="30"/>
      <c r="P59" s="30"/>
    </row>
    <row r="60" customFormat="false" ht="45.75" hidden="false" customHeight="true" outlineLevel="0" collapsed="false">
      <c r="A60" s="24" t="n">
        <v>59</v>
      </c>
      <c r="B60" s="25" t="s">
        <v>284</v>
      </c>
      <c r="C60" s="41" t="s">
        <v>31</v>
      </c>
      <c r="D60" s="26" t="s">
        <v>211</v>
      </c>
      <c r="E60" s="27" t="s">
        <v>285</v>
      </c>
      <c r="F60" s="28" t="s">
        <v>286</v>
      </c>
      <c r="G60" s="28" t="s">
        <v>287</v>
      </c>
      <c r="H60" s="28" t="s">
        <v>288</v>
      </c>
      <c r="I60" s="28" t="s">
        <v>289</v>
      </c>
      <c r="J60" s="28" t="s">
        <v>89</v>
      </c>
      <c r="K60" s="28" t="s">
        <v>290</v>
      </c>
      <c r="L60" s="28" t="s">
        <v>291</v>
      </c>
      <c r="M60" s="29" t="n">
        <v>4.5</v>
      </c>
      <c r="N60" s="30"/>
      <c r="O60" s="30"/>
      <c r="P60" s="30"/>
    </row>
    <row r="61" customFormat="false" ht="45.75" hidden="false" customHeight="true" outlineLevel="0" collapsed="false">
      <c r="A61" s="24" t="n">
        <v>60</v>
      </c>
      <c r="B61" s="25" t="s">
        <v>292</v>
      </c>
      <c r="C61" s="41" t="s">
        <v>31</v>
      </c>
      <c r="D61" s="26" t="s">
        <v>211</v>
      </c>
      <c r="E61" s="27" t="s">
        <v>293</v>
      </c>
      <c r="F61" s="28" t="s">
        <v>294</v>
      </c>
      <c r="G61" s="28" t="s">
        <v>295</v>
      </c>
      <c r="H61" s="28" t="s">
        <v>296</v>
      </c>
      <c r="I61" s="28" t="s">
        <v>289</v>
      </c>
      <c r="J61" s="28" t="s">
        <v>89</v>
      </c>
      <c r="K61" s="28" t="s">
        <v>297</v>
      </c>
      <c r="L61" s="28" t="s">
        <v>298</v>
      </c>
      <c r="M61" s="29" t="n">
        <v>3.5</v>
      </c>
      <c r="N61" s="30"/>
      <c r="O61" s="30"/>
      <c r="P61" s="30"/>
    </row>
    <row r="62" customFormat="false" ht="45.75" hidden="false" customHeight="true" outlineLevel="0" collapsed="false">
      <c r="A62" s="24" t="n">
        <v>61</v>
      </c>
      <c r="B62" s="25" t="s">
        <v>299</v>
      </c>
      <c r="C62" s="41" t="s">
        <v>31</v>
      </c>
      <c r="D62" s="26" t="s">
        <v>211</v>
      </c>
      <c r="E62" s="27" t="s">
        <v>300</v>
      </c>
      <c r="F62" s="28" t="s">
        <v>301</v>
      </c>
      <c r="G62" s="28" t="s">
        <v>302</v>
      </c>
      <c r="H62" s="28" t="s">
        <v>303</v>
      </c>
      <c r="I62" s="28" t="s">
        <v>304</v>
      </c>
      <c r="J62" s="28" t="s">
        <v>305</v>
      </c>
      <c r="K62" s="28" t="s">
        <v>222</v>
      </c>
      <c r="L62" s="28" t="s">
        <v>306</v>
      </c>
      <c r="M62" s="29" t="n">
        <v>2.5</v>
      </c>
      <c r="N62" s="30"/>
      <c r="O62" s="30"/>
      <c r="P62" s="30"/>
    </row>
    <row r="63" customFormat="false" ht="45.75" hidden="false" customHeight="true" outlineLevel="0" collapsed="false">
      <c r="A63" s="33" t="n">
        <v>62</v>
      </c>
      <c r="B63" s="34" t="s">
        <v>307</v>
      </c>
      <c r="C63" s="41" t="s">
        <v>31</v>
      </c>
      <c r="D63" s="35" t="s">
        <v>308</v>
      </c>
      <c r="E63" s="36" t="s">
        <v>309</v>
      </c>
      <c r="F63" s="37" t="s">
        <v>310</v>
      </c>
      <c r="G63" s="37" t="s">
        <v>311</v>
      </c>
      <c r="H63" s="37" t="s">
        <v>89</v>
      </c>
      <c r="I63" s="37" t="s">
        <v>312</v>
      </c>
      <c r="J63" s="37" t="s">
        <v>313</v>
      </c>
      <c r="K63" s="37" t="s">
        <v>314</v>
      </c>
      <c r="L63" s="38" t="s">
        <v>315</v>
      </c>
      <c r="M63" s="39" t="n">
        <v>4</v>
      </c>
      <c r="N63" s="40"/>
      <c r="O63" s="40"/>
      <c r="P63" s="40"/>
    </row>
  </sheetData>
  <dataValidations count="1">
    <dataValidation allowBlank="true" errorStyle="stop" operator="between" showDropDown="false" showErrorMessage="false" showInputMessage="false" sqref="N2:N63" type="list">
      <formula1>"OK,Partiel,Manqué"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80"/>
  </cols>
  <sheetData>
    <row r="1" customFormat="false" ht="17.35" hidden="false" customHeight="false" outlineLevel="0" collapsed="false">
      <c r="A1" s="42" t="s">
        <v>316</v>
      </c>
      <c r="B1" s="42"/>
      <c r="C1" s="42"/>
    </row>
    <row r="2" customFormat="false" ht="15" hidden="false" customHeight="false" outlineLevel="0" collapsed="false">
      <c r="A2" s="2" t="s">
        <v>317</v>
      </c>
      <c r="B2" s="2"/>
      <c r="C2" s="2"/>
    </row>
    <row r="4" customFormat="false" ht="24" hidden="false" customHeight="true" outlineLevel="0" collapsed="false">
      <c r="A4" s="6" t="s">
        <v>318</v>
      </c>
      <c r="B4" s="6" t="s">
        <v>319</v>
      </c>
      <c r="C4" s="6" t="s">
        <v>320</v>
      </c>
    </row>
    <row r="5" customFormat="false" ht="78" hidden="false" customHeight="true" outlineLevel="0" collapsed="false">
      <c r="A5" s="43" t="s">
        <v>321</v>
      </c>
      <c r="B5" s="44" t="s">
        <v>322</v>
      </c>
      <c r="C5" s="45" t="s">
        <v>323</v>
      </c>
    </row>
    <row r="6" customFormat="false" ht="78" hidden="false" customHeight="true" outlineLevel="0" collapsed="false">
      <c r="A6" s="43" t="s">
        <v>324</v>
      </c>
      <c r="B6" s="44" t="s">
        <v>325</v>
      </c>
      <c r="C6" s="45" t="s">
        <v>326</v>
      </c>
    </row>
    <row r="7" customFormat="false" ht="78" hidden="false" customHeight="true" outlineLevel="0" collapsed="false">
      <c r="A7" s="43" t="s">
        <v>327</v>
      </c>
      <c r="B7" s="44" t="s">
        <v>328</v>
      </c>
      <c r="C7" s="45" t="s">
        <v>329</v>
      </c>
    </row>
    <row r="8" customFormat="false" ht="78" hidden="false" customHeight="true" outlineLevel="0" collapsed="false">
      <c r="A8" s="43" t="s">
        <v>330</v>
      </c>
      <c r="B8" s="44" t="s">
        <v>331</v>
      </c>
      <c r="C8" s="45" t="s">
        <v>332</v>
      </c>
    </row>
    <row r="9" customFormat="false" ht="78" hidden="false" customHeight="true" outlineLevel="0" collapsed="false">
      <c r="A9" s="43" t="s">
        <v>333</v>
      </c>
      <c r="B9" s="44" t="s">
        <v>334</v>
      </c>
      <c r="C9" s="45" t="s">
        <v>335</v>
      </c>
    </row>
    <row r="10" customFormat="false" ht="78" hidden="false" customHeight="true" outlineLevel="0" collapsed="false">
      <c r="A10" s="43" t="s">
        <v>336</v>
      </c>
      <c r="B10" s="44" t="s">
        <v>337</v>
      </c>
      <c r="C10" s="45" t="s">
        <v>338</v>
      </c>
    </row>
    <row r="11" customFormat="false" ht="78" hidden="false" customHeight="true" outlineLevel="0" collapsed="false">
      <c r="A11" s="43" t="s">
        <v>339</v>
      </c>
      <c r="B11" s="44" t="s">
        <v>340</v>
      </c>
      <c r="C11" s="45" t="s">
        <v>341</v>
      </c>
    </row>
    <row r="12" customFormat="false" ht="78" hidden="false" customHeight="true" outlineLevel="0" collapsed="false">
      <c r="A12" s="43" t="s">
        <v>342</v>
      </c>
      <c r="B12" s="44" t="s">
        <v>343</v>
      </c>
      <c r="C12" s="45" t="s">
        <v>344</v>
      </c>
    </row>
    <row r="13" customFormat="false" ht="78" hidden="false" customHeight="true" outlineLevel="0" collapsed="false">
      <c r="A13" s="43" t="s">
        <v>345</v>
      </c>
      <c r="B13" s="44" t="s">
        <v>346</v>
      </c>
      <c r="C13" s="45" t="s">
        <v>347</v>
      </c>
    </row>
    <row r="14" customFormat="false" ht="78" hidden="false" customHeight="true" outlineLevel="0" collapsed="false">
      <c r="A14" s="43" t="s">
        <v>348</v>
      </c>
      <c r="B14" s="44" t="s">
        <v>349</v>
      </c>
      <c r="C14" s="45" t="s">
        <v>350</v>
      </c>
    </row>
    <row r="15" customFormat="false" ht="78" hidden="false" customHeight="true" outlineLevel="0" collapsed="false">
      <c r="A15" s="43" t="s">
        <v>351</v>
      </c>
      <c r="B15" s="44" t="s">
        <v>352</v>
      </c>
      <c r="C15" s="45" t="s">
        <v>353</v>
      </c>
    </row>
    <row r="16" customFormat="false" ht="78" hidden="false" customHeight="true" outlineLevel="0" collapsed="false">
      <c r="A16" s="43" t="s">
        <v>354</v>
      </c>
      <c r="B16" s="44" t="s">
        <v>355</v>
      </c>
      <c r="C16" s="45" t="s">
        <v>356</v>
      </c>
    </row>
    <row r="17" customFormat="false" ht="78" hidden="false" customHeight="true" outlineLevel="0" collapsed="false">
      <c r="A17" s="43" t="s">
        <v>357</v>
      </c>
      <c r="B17" s="44" t="s">
        <v>358</v>
      </c>
      <c r="C17" s="45" t="s">
        <v>359</v>
      </c>
    </row>
    <row r="18" customFormat="false" ht="78" hidden="false" customHeight="true" outlineLevel="0" collapsed="false">
      <c r="A18" s="43" t="s">
        <v>89</v>
      </c>
      <c r="B18" s="44" t="s">
        <v>360</v>
      </c>
      <c r="C18" s="45" t="s">
        <v>361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62"/>
  </cols>
  <sheetData>
    <row r="1" customFormat="false" ht="17.35" hidden="false" customHeight="false" outlineLevel="0" collapsed="false">
      <c r="A1" s="42" t="s">
        <v>362</v>
      </c>
      <c r="B1" s="42"/>
      <c r="C1" s="42"/>
    </row>
    <row r="2" customFormat="false" ht="15" hidden="false" customHeight="false" outlineLevel="0" collapsed="false">
      <c r="A2" s="2" t="s">
        <v>363</v>
      </c>
      <c r="B2" s="2"/>
      <c r="C2" s="2"/>
    </row>
    <row r="4" customFormat="false" ht="15" hidden="false" customHeight="false" outlineLevel="0" collapsed="false">
      <c r="A4" s="46" t="s">
        <v>364</v>
      </c>
      <c r="B4" s="46"/>
      <c r="C4" s="46"/>
    </row>
    <row r="5" customFormat="false" ht="15" hidden="false" customHeight="false" outlineLevel="0" collapsed="false">
      <c r="A5" s="6" t="s">
        <v>365</v>
      </c>
      <c r="B5" s="6" t="s">
        <v>366</v>
      </c>
      <c r="C5" s="6" t="s">
        <v>367</v>
      </c>
    </row>
    <row r="6" customFormat="false" ht="51.75" hidden="false" customHeight="true" outlineLevel="0" collapsed="false">
      <c r="A6" s="43" t="s">
        <v>368</v>
      </c>
      <c r="B6" s="44" t="s">
        <v>369</v>
      </c>
      <c r="C6" s="45" t="s">
        <v>370</v>
      </c>
    </row>
    <row r="7" customFormat="false" ht="51.75" hidden="false" customHeight="true" outlineLevel="0" collapsed="false">
      <c r="A7" s="43" t="s">
        <v>371</v>
      </c>
      <c r="B7" s="44" t="s">
        <v>372</v>
      </c>
      <c r="C7" s="45" t="s">
        <v>373</v>
      </c>
    </row>
    <row r="8" customFormat="false" ht="51.75" hidden="false" customHeight="true" outlineLevel="0" collapsed="false">
      <c r="A8" s="43" t="s">
        <v>374</v>
      </c>
      <c r="B8" s="44" t="s">
        <v>375</v>
      </c>
      <c r="C8" s="45" t="s">
        <v>376</v>
      </c>
    </row>
    <row r="9" customFormat="false" ht="51.75" hidden="false" customHeight="true" outlineLevel="0" collapsed="false">
      <c r="A9" s="43" t="s">
        <v>377</v>
      </c>
      <c r="B9" s="44" t="s">
        <v>378</v>
      </c>
      <c r="C9" s="45" t="s">
        <v>379</v>
      </c>
    </row>
    <row r="11" customFormat="false" ht="15" hidden="false" customHeight="false" outlineLevel="0" collapsed="false">
      <c r="A11" s="46" t="s">
        <v>380</v>
      </c>
      <c r="B11" s="46"/>
      <c r="C11" s="46"/>
    </row>
    <row r="12" customFormat="false" ht="15" hidden="false" customHeight="false" outlineLevel="0" collapsed="false">
      <c r="A12" s="47" t="s">
        <v>381</v>
      </c>
      <c r="B12" s="47"/>
      <c r="C12" s="47"/>
    </row>
    <row r="13" customFormat="false" ht="15" hidden="false" customHeight="false" outlineLevel="0" collapsed="false">
      <c r="A13" s="6" t="s">
        <v>382</v>
      </c>
      <c r="B13" s="6" t="s">
        <v>383</v>
      </c>
      <c r="C13" s="6" t="s">
        <v>384</v>
      </c>
    </row>
    <row r="14" customFormat="false" ht="51.75" hidden="false" customHeight="true" outlineLevel="0" collapsed="false">
      <c r="A14" s="43" t="s">
        <v>385</v>
      </c>
      <c r="B14" s="44" t="s">
        <v>386</v>
      </c>
      <c r="C14" s="45" t="s">
        <v>387</v>
      </c>
    </row>
    <row r="15" customFormat="false" ht="51.75" hidden="false" customHeight="true" outlineLevel="0" collapsed="false">
      <c r="A15" s="43" t="s">
        <v>388</v>
      </c>
      <c r="B15" s="44" t="s">
        <v>389</v>
      </c>
      <c r="C15" s="45" t="s">
        <v>390</v>
      </c>
    </row>
    <row r="16" customFormat="false" ht="51.75" hidden="false" customHeight="true" outlineLevel="0" collapsed="false">
      <c r="A16" s="43" t="s">
        <v>374</v>
      </c>
      <c r="B16" s="44" t="s">
        <v>391</v>
      </c>
      <c r="C16" s="45" t="s">
        <v>392</v>
      </c>
    </row>
    <row r="17" customFormat="false" ht="51.75" hidden="false" customHeight="true" outlineLevel="0" collapsed="false">
      <c r="A17" s="43" t="s">
        <v>393</v>
      </c>
      <c r="B17" s="44" t="s">
        <v>394</v>
      </c>
      <c r="C17" s="45" t="s">
        <v>395</v>
      </c>
    </row>
    <row r="19" customFormat="false" ht="15" hidden="false" customHeight="false" outlineLevel="0" collapsed="false">
      <c r="A19" s="46" t="s">
        <v>396</v>
      </c>
      <c r="B19" s="46"/>
      <c r="C19" s="46"/>
    </row>
    <row r="20" customFormat="false" ht="15" hidden="false" customHeight="false" outlineLevel="0" collapsed="false">
      <c r="A20" s="47" t="s">
        <v>397</v>
      </c>
      <c r="B20" s="47"/>
      <c r="C20" s="47"/>
    </row>
    <row r="21" customFormat="false" ht="15" hidden="false" customHeight="false" outlineLevel="0" collapsed="false">
      <c r="A21" s="6" t="s">
        <v>365</v>
      </c>
      <c r="B21" s="6" t="s">
        <v>398</v>
      </c>
      <c r="C21" s="6" t="s">
        <v>367</v>
      </c>
    </row>
    <row r="22" customFormat="false" ht="54" hidden="false" customHeight="true" outlineLevel="0" collapsed="false">
      <c r="A22" s="43" t="s">
        <v>399</v>
      </c>
      <c r="B22" s="44" t="s">
        <v>400</v>
      </c>
      <c r="C22" s="45" t="s">
        <v>401</v>
      </c>
    </row>
    <row r="23" customFormat="false" ht="54" hidden="false" customHeight="true" outlineLevel="0" collapsed="false">
      <c r="A23" s="43" t="s">
        <v>402</v>
      </c>
      <c r="B23" s="44" t="s">
        <v>403</v>
      </c>
      <c r="C23" s="45" t="s">
        <v>404</v>
      </c>
    </row>
    <row r="24" customFormat="false" ht="54" hidden="false" customHeight="true" outlineLevel="0" collapsed="false">
      <c r="A24" s="43" t="s">
        <v>405</v>
      </c>
      <c r="B24" s="44" t="s">
        <v>406</v>
      </c>
      <c r="C24" s="45" t="s">
        <v>407</v>
      </c>
    </row>
    <row r="25" customFormat="false" ht="54" hidden="false" customHeight="true" outlineLevel="0" collapsed="false">
      <c r="A25" s="43" t="s">
        <v>408</v>
      </c>
      <c r="B25" s="44" t="s">
        <v>409</v>
      </c>
      <c r="C25" s="45" t="s">
        <v>410</v>
      </c>
    </row>
    <row r="26" customFormat="false" ht="54" hidden="false" customHeight="true" outlineLevel="0" collapsed="false">
      <c r="A26" s="43" t="s">
        <v>411</v>
      </c>
      <c r="B26" s="44" t="s">
        <v>412</v>
      </c>
      <c r="C26" s="45" t="s">
        <v>413</v>
      </c>
    </row>
    <row r="28" customFormat="false" ht="15" hidden="false" customHeight="false" outlineLevel="0" collapsed="false">
      <c r="A28" s="48" t="s">
        <v>414</v>
      </c>
      <c r="B28" s="48"/>
      <c r="C28" s="48"/>
    </row>
    <row r="29" customFormat="false" ht="42" hidden="false" customHeight="true" outlineLevel="0" collapsed="false">
      <c r="A29" s="43" t="s">
        <v>415</v>
      </c>
      <c r="B29" s="5" t="s">
        <v>416</v>
      </c>
      <c r="C29" s="5"/>
    </row>
    <row r="30" customFormat="false" ht="42" hidden="false" customHeight="true" outlineLevel="0" collapsed="false">
      <c r="A30" s="43" t="s">
        <v>417</v>
      </c>
      <c r="B30" s="5" t="s">
        <v>418</v>
      </c>
      <c r="C30" s="5"/>
    </row>
    <row r="31" customFormat="false" ht="42" hidden="false" customHeight="true" outlineLevel="0" collapsed="false">
      <c r="A31" s="43" t="s">
        <v>419</v>
      </c>
      <c r="B31" s="5" t="s">
        <v>420</v>
      </c>
      <c r="C31" s="5"/>
    </row>
    <row r="32" customFormat="false" ht="42" hidden="false" customHeight="true" outlineLevel="0" collapsed="false">
      <c r="A32" s="43" t="s">
        <v>421</v>
      </c>
      <c r="B32" s="5" t="s">
        <v>422</v>
      </c>
      <c r="C32" s="5"/>
    </row>
    <row r="33" customFormat="false" ht="42" hidden="false" customHeight="true" outlineLevel="0" collapsed="false">
      <c r="A33" s="43" t="s">
        <v>423</v>
      </c>
      <c r="B33" s="5" t="s">
        <v>424</v>
      </c>
      <c r="C33" s="5"/>
    </row>
    <row r="34" customFormat="false" ht="42" hidden="false" customHeight="true" outlineLevel="0" collapsed="false">
      <c r="A34" s="43" t="s">
        <v>425</v>
      </c>
      <c r="B34" s="5" t="s">
        <v>426</v>
      </c>
      <c r="C34" s="5"/>
    </row>
    <row r="35" customFormat="false" ht="42" hidden="false" customHeight="true" outlineLevel="0" collapsed="false">
      <c r="A35" s="43" t="s">
        <v>427</v>
      </c>
      <c r="B35" s="5" t="s">
        <v>428</v>
      </c>
      <c r="C35" s="5"/>
    </row>
  </sheetData>
  <mergeCells count="15">
    <mergeCell ref="A1:C1"/>
    <mergeCell ref="A2:C2"/>
    <mergeCell ref="A4:C4"/>
    <mergeCell ref="A11:C11"/>
    <mergeCell ref="A12:C12"/>
    <mergeCell ref="A19:C19"/>
    <mergeCell ref="A20:C20"/>
    <mergeCell ref="A28:C28"/>
    <mergeCell ref="B29:C29"/>
    <mergeCell ref="B30:C30"/>
    <mergeCell ref="B31:C31"/>
    <mergeCell ref="B32:C32"/>
    <mergeCell ref="B33:C33"/>
    <mergeCell ref="B34:C34"/>
    <mergeCell ref="B35:C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6"/>
  </cols>
  <sheetData>
    <row r="1" customFormat="false" ht="17.35" hidden="false" customHeight="false" outlineLevel="0" collapsed="false">
      <c r="A1" s="42" t="s">
        <v>429</v>
      </c>
      <c r="B1" s="42"/>
    </row>
    <row r="3" customFormat="false" ht="63.75" hidden="false" customHeight="true" outlineLevel="0" collapsed="false">
      <c r="A3" s="49" t="s">
        <v>430</v>
      </c>
      <c r="B3" s="50" t="s">
        <v>431</v>
      </c>
    </row>
    <row r="4" customFormat="false" ht="63.75" hidden="false" customHeight="true" outlineLevel="0" collapsed="false">
      <c r="A4" s="49" t="s">
        <v>432</v>
      </c>
      <c r="B4" s="50" t="s">
        <v>433</v>
      </c>
    </row>
    <row r="5" customFormat="false" ht="63.75" hidden="false" customHeight="true" outlineLevel="0" collapsed="false">
      <c r="A5" s="49" t="s">
        <v>434</v>
      </c>
      <c r="B5" s="50" t="s">
        <v>435</v>
      </c>
    </row>
    <row r="6" customFormat="false" ht="63.75" hidden="false" customHeight="true" outlineLevel="0" collapsed="false">
      <c r="A6" s="49" t="s">
        <v>436</v>
      </c>
      <c r="B6" s="50" t="s">
        <v>437</v>
      </c>
    </row>
    <row r="7" customFormat="false" ht="63.75" hidden="false" customHeight="true" outlineLevel="0" collapsed="false">
      <c r="A7" s="49" t="s">
        <v>438</v>
      </c>
      <c r="B7" s="50" t="s">
        <v>439</v>
      </c>
    </row>
    <row r="8" customFormat="false" ht="63.75" hidden="false" customHeight="true" outlineLevel="0" collapsed="false">
      <c r="A8" s="49" t="s">
        <v>440</v>
      </c>
      <c r="B8" s="50" t="s">
        <v>441</v>
      </c>
    </row>
    <row r="9" customFormat="false" ht="63.75" hidden="false" customHeight="true" outlineLevel="0" collapsed="false">
      <c r="A9" s="49" t="s">
        <v>442</v>
      </c>
      <c r="B9" s="50" t="s">
        <v>443</v>
      </c>
    </row>
    <row r="10" customFormat="false" ht="63.75" hidden="false" customHeight="true" outlineLevel="0" collapsed="false">
      <c r="A10" s="49" t="s">
        <v>444</v>
      </c>
      <c r="B10" s="50" t="s">
        <v>445</v>
      </c>
    </row>
    <row r="11" customFormat="false" ht="63.75" hidden="false" customHeight="true" outlineLevel="0" collapsed="false">
      <c r="A11" s="49" t="s">
        <v>446</v>
      </c>
      <c r="B11" s="50" t="s">
        <v>447</v>
      </c>
    </row>
    <row r="12" customFormat="false" ht="63.75" hidden="false" customHeight="true" outlineLevel="0" collapsed="false">
      <c r="A12" s="49" t="s">
        <v>448</v>
      </c>
      <c r="B12" s="50" t="s">
        <v>449</v>
      </c>
    </row>
    <row r="13" customFormat="false" ht="63.75" hidden="false" customHeight="true" outlineLevel="0" collapsed="false">
      <c r="A13" s="49" t="s">
        <v>450</v>
      </c>
      <c r="B13" s="50" t="s">
        <v>451</v>
      </c>
    </row>
    <row r="14" customFormat="false" ht="63.75" hidden="false" customHeight="true" outlineLevel="0" collapsed="false">
      <c r="A14" s="49" t="s">
        <v>452</v>
      </c>
      <c r="B14" s="50" t="s">
        <v>453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2026-07-02T21:27:47Z</dcterms:created>
  <dc:creator>openpyxl</dc:creator>
  <dc:description/>
  <dc:language>en-US</dc:language>
  <cp:lastModifiedBy/>
  <dcterms:modified xsi:type="dcterms:W3CDTF">2026-07-02T21:27:48Z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